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محصولات" sheetId="1" state="visible" r:id="rId1"/>
    <sheet name="راهنما" sheetId="2" state="visible" r:id="rId2"/>
    <sheet name="تنظیمات" sheetId="3" state="visible" r:id="rId3"/>
  </sheets>
  <definedNames>
    <definedName name="_xlnm._FilterDatabase" localSheetId="0" hidden="1">'محصولات'!$A$4:$N$204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Tahoma"/>
      <b val="1"/>
      <color rgb="00FFFFFF"/>
      <sz val="16"/>
    </font>
    <font>
      <name val="Tahoma"/>
      <i val="1"/>
      <color rgb="00666666"/>
    </font>
    <font>
      <name val="Tahoma"/>
      <b val="1"/>
      <color rgb="00FFFFFF"/>
    </font>
    <font>
      <name val="Tahoma"/>
      <sz val="10"/>
    </font>
    <font>
      <name val="Tahoma"/>
      <b val="1"/>
    </font>
    <font>
      <name val="Tahoma"/>
    </font>
    <font>
      <name val="Tahoma"/>
      <b val="1"/>
      <color rgb="001F4E78"/>
    </font>
    <font>
      <b val="1"/>
      <color rgb="00FFFFFF"/>
      <sz val="14"/>
    </font>
  </fonts>
  <fills count="7">
    <fill>
      <patternFill/>
    </fill>
    <fill>
      <patternFill patternType="gray125"/>
    </fill>
    <fill>
      <patternFill patternType="solid">
        <fgColor rgb="001F4E78"/>
      </patternFill>
    </fill>
    <fill>
      <patternFill patternType="solid">
        <fgColor rgb="00F3F6F9"/>
      </patternFill>
    </fill>
    <fill>
      <patternFill patternType="solid">
        <fgColor rgb="00D9EAF7"/>
      </patternFill>
    </fill>
    <fill>
      <patternFill patternType="solid">
        <fgColor rgb="00FCE4D6"/>
      </patternFill>
    </fill>
    <fill>
      <patternFill patternType="solid">
        <fgColor rgb="004472C4"/>
      </patternFill>
    </fill>
  </fills>
  <borders count="3">
    <border>
      <left/>
      <right/>
      <top/>
      <bottom/>
      <diagonal/>
    </border>
    <border>
      <bottom style="medium">
        <color rgb="001F4E78"/>
      </bottom>
    </border>
    <border>
      <bottom style="thin">
        <color rgb="00D9E1F2"/>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xf>
    <xf numFmtId="0" fontId="2" fillId="0" borderId="0" pivotButton="0" quotePrefix="0" xfId="0"/>
    <xf numFmtId="0" fontId="3" fillId="2" borderId="1" applyAlignment="1" pivotButton="0" quotePrefix="0" xfId="0">
      <alignment horizontal="center" vertical="center" wrapText="1"/>
    </xf>
    <xf numFmtId="0" fontId="4" fillId="0" borderId="2" applyAlignment="1" pivotButton="0" quotePrefix="0" xfId="0">
      <alignment vertical="top"/>
    </xf>
    <xf numFmtId="0" fontId="4" fillId="0" borderId="2" applyAlignment="1" pivotButton="0" quotePrefix="0" xfId="0">
      <alignment vertical="top" wrapText="1"/>
    </xf>
    <xf numFmtId="3" fontId="4" fillId="0" borderId="2" applyAlignment="1" pivotButton="0" quotePrefix="0" xfId="0">
      <alignment vertical="top"/>
    </xf>
    <xf numFmtId="0" fontId="4" fillId="3" borderId="2" applyAlignment="1" pivotButton="0" quotePrefix="0" xfId="0">
      <alignment vertical="top"/>
    </xf>
    <xf numFmtId="0" fontId="4" fillId="3" borderId="2" applyAlignment="1" pivotButton="0" quotePrefix="0" xfId="0">
      <alignment vertical="top" wrapText="1"/>
    </xf>
    <xf numFmtId="3" fontId="4" fillId="3" borderId="2" applyAlignment="1" pivotButton="0" quotePrefix="0" xfId="0">
      <alignment vertical="top"/>
    </xf>
    <xf numFmtId="0" fontId="1" fillId="2" borderId="0" pivotButton="0" quotePrefix="0" xfId="0"/>
    <xf numFmtId="0" fontId="7" fillId="0" borderId="0" pivotButton="0" quotePrefix="0" xfId="0"/>
    <xf numFmtId="0" fontId="6" fillId="0" borderId="0" applyAlignment="1" pivotButton="0" quotePrefix="0" xfId="0">
      <alignment vertical="top" wrapText="1"/>
    </xf>
    <xf numFmtId="0" fontId="5" fillId="4" borderId="0" pivotButton="0" quotePrefix="0" xfId="0"/>
    <xf numFmtId="3" fontId="6" fillId="5" borderId="0" pivotButton="0" quotePrefix="0" xfId="0"/>
    <xf numFmtId="2" fontId="6" fillId="5" borderId="0" pivotButton="0" quotePrefix="0" xfId="0"/>
    <xf numFmtId="0" fontId="6" fillId="5" borderId="0" pivotButton="0" quotePrefix="0" xfId="0"/>
    <xf numFmtId="0" fontId="8" fillId="6" borderId="0" applyAlignment="1" pivotButton="0" quotePrefix="0" xfId="0">
      <alignment horizontal="center"/>
    </xf>
    <xf numFmtId="0" fontId="0" fillId="0" borderId="0" applyAlignment="1" pivotButton="0" quotePrefix="0" xfId="0">
      <alignment horizontal="right" vertical="top" wrapText="1"/>
    </xf>
  </cellXfs>
  <cellStyles count="1">
    <cellStyle name="Normal" xfId="0" builtinId="0" hidden="0"/>
  </cellStyles>
  <dxfs count="1">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ProductsImport" displayName="ProductsImport" ref="A4:N204" headerRowCount="1">
  <autoFilter ref="A4:N204"/>
  <tableColumns count="14">
    <tableColumn id="1" name="کد محصول"/>
    <tableColumn id="2" name="نام محصول"/>
    <tableColumn id="3" name="توضیحات دستی"/>
    <tableColumn id="4" name="قیمت خرید (دلار)"/>
    <tableColumn id="5" name="سایز"/>
    <tableColumn id="6" name="وزن (گرم)"/>
    <tableColumn id="7" name="موقعیت"/>
    <tableColumn id="8" name="دسته‌بندی"/>
    <tableColumn id="9" name="عکس ۱"/>
    <tableColumn id="10" name="عکس ۲"/>
    <tableColumn id="11" name="عکس ۳"/>
    <tableColumn id="12" name="لینک تلگرام ۱"/>
    <tableColumn id="13" name="لینک تلگرام ۲"/>
    <tableColumn id="14" name="قیمت نهایی (تومان)"/>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N236"/>
  <sheetViews>
    <sheetView showGridLines="0" rightToLeft="1" workbookViewId="0">
      <pane ySplit="4" topLeftCell="A5" activePane="bottomLeft" state="frozen"/>
      <selection pane="bottomLeft" activeCell="A1" sqref="A1"/>
    </sheetView>
  </sheetViews>
  <sheetFormatPr baseColWidth="8" defaultRowHeight="15"/>
  <cols>
    <col width="16" customWidth="1" min="1" max="1"/>
    <col width="28" customWidth="1" min="2" max="2"/>
    <col width="38" customWidth="1" min="3" max="3"/>
    <col width="18" customWidth="1" min="4" max="4"/>
    <col width="14" customWidth="1" min="5" max="5"/>
    <col width="14" customWidth="1" min="6" max="6"/>
    <col width="16" customWidth="1" min="7" max="7"/>
    <col width="24" customWidth="1" min="8" max="8"/>
    <col width="22" customWidth="1" min="9" max="9"/>
    <col width="22" customWidth="1" min="10" max="10"/>
    <col width="22" customWidth="1" min="11" max="11"/>
    <col width="28" customWidth="1" min="12" max="12"/>
    <col width="28" customWidth="1" min="13" max="13"/>
    <col width="24" customWidth="1" min="14" max="14"/>
  </cols>
  <sheetData>
    <row r="1" ht="28" customHeight="1">
      <c r="A1" s="17" t="inlineStr">
        <is>
          <t>ورود گروهی موجودی تهران — محصولات فعلی + استخراج گروه عطر (25 مرداد 1405)</t>
        </is>
      </c>
    </row>
    <row r="2" ht="24" customHeight="1">
      <c r="A2" s="2" t="inlineStr">
        <is>
          <t>ستون‌های عکس فقط نام فایل را می‌گیرند؛ فایل‌های عکس را کنار اکسل یا در ZIP با همین نام‌ها قرار دهید.</t>
        </is>
      </c>
    </row>
    <row r="4" ht="34" customHeight="1">
      <c r="A4" s="3" t="inlineStr">
        <is>
          <t>کد محصول</t>
        </is>
      </c>
      <c r="B4" s="3" t="inlineStr">
        <is>
          <t>نام محصول</t>
        </is>
      </c>
      <c r="C4" s="3" t="inlineStr">
        <is>
          <t>توضیحات دستی</t>
        </is>
      </c>
      <c r="D4" s="3" t="inlineStr">
        <is>
          <t>قیمت خرید (دلار)</t>
        </is>
      </c>
      <c r="E4" s="3" t="inlineStr">
        <is>
          <t>سایز</t>
        </is>
      </c>
      <c r="F4" s="3" t="inlineStr">
        <is>
          <t>وزن (گرم)</t>
        </is>
      </c>
      <c r="G4" s="3" t="inlineStr">
        <is>
          <t>موقعیت</t>
        </is>
      </c>
      <c r="H4" s="3" t="inlineStr">
        <is>
          <t>دسته‌بندی</t>
        </is>
      </c>
      <c r="I4" s="3" t="inlineStr">
        <is>
          <t>عکس ۱</t>
        </is>
      </c>
      <c r="J4" s="3" t="inlineStr">
        <is>
          <t>عکس ۲</t>
        </is>
      </c>
      <c r="K4" s="3" t="inlineStr">
        <is>
          <t>عکس ۳</t>
        </is>
      </c>
      <c r="L4" s="3" t="inlineStr">
        <is>
          <t>لینک تلگرام ۱</t>
        </is>
      </c>
      <c r="M4" s="3" t="inlineStr">
        <is>
          <t>لینک تلگرام ۲</t>
        </is>
      </c>
      <c r="N4" s="3" t="inlineStr">
        <is>
          <t>قیمت نهایی (تومان)</t>
        </is>
      </c>
    </row>
    <row r="5" ht="72" customHeight="1">
      <c r="A5" s="18" t="inlineStr">
        <is>
          <t>IMP-0001</t>
        </is>
      </c>
      <c r="B5" s="18" t="inlineStr">
        <is>
          <t>کیف دستی Mk</t>
        </is>
      </c>
      <c r="C5" s="18" t="inlineStr">
        <is>
          <t>کیف دستی Mk
90$
۴۶۶gr
ابعاد: ١٠*٢٠*٢٢
فقط رنگ  سفید صورتی موجود هست
برای ثبت سفارش به آیدی زیر مراجعه کنید :
@f_ati_a</t>
        </is>
      </c>
      <c r="D5" s="18" t="n">
        <v>90</v>
      </c>
      <c r="E5" s="18" t="n"/>
      <c r="F5" s="18" t="n">
        <v>466</v>
      </c>
      <c r="G5" s="18" t="inlineStr">
        <is>
          <t>کانادا</t>
        </is>
      </c>
      <c r="H5" s="18" t="inlineStr">
        <is>
          <t>کیف</t>
        </is>
      </c>
      <c r="I5" s="18" t="inlineStr">
        <is>
          <t>export_photo_1031@01-02-2026_11-43-13.jpg</t>
        </is>
      </c>
      <c r="J5" s="18" t="n"/>
      <c r="K5" s="18" t="n"/>
      <c r="L5" s="18" t="n"/>
      <c r="M5" s="18" t="n"/>
      <c r="N5" s="18">
        <f>D5*تنظیمات!$B$3*تنظیمات!$B$5+(F5/1000)*تنظیمات!$B$4</f>
        <v/>
      </c>
    </row>
    <row r="6" ht="72" customHeight="1">
      <c r="A6" s="18" t="inlineStr">
        <is>
          <t>IMP-0002</t>
        </is>
      </c>
      <c r="B6" s="18" t="inlineStr">
        <is>
          <t>کیف دستی متوسط Mk</t>
        </is>
      </c>
      <c r="C6" s="18" t="inlineStr">
        <is>
          <t>کیف دستی متوسط Mk
690gr
❌
: ابعاد
30*23*9
99$
برای ثبت سفارش به آیدی زیر مراجعه کنید :
@f_ati_a</t>
        </is>
      </c>
      <c r="D6" s="18" t="n">
        <v>99</v>
      </c>
      <c r="E6" s="18" t="n"/>
      <c r="F6" s="18" t="n">
        <v>690</v>
      </c>
      <c r="G6" s="18" t="inlineStr">
        <is>
          <t>کانادا</t>
        </is>
      </c>
      <c r="H6" s="18" t="inlineStr">
        <is>
          <t>کیف</t>
        </is>
      </c>
      <c r="I6" s="18" t="inlineStr">
        <is>
          <t>export_photo_1035@02-02-2026_13-20-43.jpg</t>
        </is>
      </c>
      <c r="J6" s="18" t="n"/>
      <c r="K6" s="18" t="n"/>
      <c r="L6" s="18" t="n"/>
      <c r="M6" s="18" t="n"/>
      <c r="N6" s="18">
        <f>D6*تنظیمات!$B$3*تنظیمات!$B$5+(F6/1000)*تنظیمات!$B$4</f>
        <v/>
      </c>
    </row>
    <row r="7" ht="72" customHeight="1">
      <c r="A7" s="18" t="inlineStr">
        <is>
          <t>IMP-0003</t>
        </is>
      </c>
      <c r="B7" s="18" t="inlineStr">
        <is>
          <t>پاستیل مولتی ویتامین روزانه مخصوص بزرگسالان برند ویتافیوژن مولتی ویتز 250 عددی ساخت آمریکا</t>
        </is>
      </c>
      <c r="C7" s="18" t="inlineStr">
        <is>
          <t>پاستیل مولتی ویتامین روزانه مخصوص بزرگسالان برند ویتافیوژن مولتی ویتز 250 عددی ساخت آمریکا
مولتی‌ویتامین روزانه مولتی‌ویتز فیوژن یک مولتی ویتامین خوشمزه است که جایگزینی عالی و راحت برای قرص‌های سنتی و سخت بلعیده می‌شود.
این پاستیل های لذت‌بخش که از ترکیبی قدرتمند از ویتامین‌ها، مواد معدنی و طعم‌های میوه ساخته شده‌اند، مملو از 12 ماده مغذی ضروری از جمله ویتامین‌های A، B، C، D، E، B6، B12، بیوتین و غیره هستند.
به طور ویژه برای رفع نیازهای سلامتی بزرگسالان فرموله شده است
حاوی آنتی اکسیدان ویتامین C و E
5 ویتامین B با قدرت بالا برای حمایت از انرژی سلولی
بدون گلوتن، بدون لبنیات، بدون طعم دهنده های مصنوعی، بدون شربت ذرت با فروکتوز بالا و بدون رنگ های مصنوعی FD&amp;C
250 عددی
ساخت آمریکا
07/2026 انقضا
732gr
17.99$
با قیمت باورنکردنی 😱۱۰$😱😱 تقدیمتون میشه
برای ثبت سفارش به آیدی زیر مراجعه کنید :
@f_ati_a</t>
        </is>
      </c>
      <c r="D7" s="18" t="n">
        <v>10</v>
      </c>
      <c r="E7" s="18" t="n"/>
      <c r="F7" s="18" t="n">
        <v>732</v>
      </c>
      <c r="G7" s="18" t="inlineStr">
        <is>
          <t>کانادا</t>
        </is>
      </c>
      <c r="H7" s="18" t="inlineStr">
        <is>
          <t>دارو و سلامتی</t>
        </is>
      </c>
      <c r="I7" s="18" t="inlineStr">
        <is>
          <t>export_photo_1038@03-02-2026_12-17-11.jpg</t>
        </is>
      </c>
      <c r="J7" s="18" t="n"/>
      <c r="K7" s="18" t="n"/>
      <c r="L7" s="18" t="n"/>
      <c r="M7" s="18" t="n"/>
      <c r="N7" s="18">
        <f>D7*تنظیمات!$B$3*تنظیمات!$B$5+(F7/1000)*تنظیمات!$B$4</f>
        <v/>
      </c>
    </row>
    <row r="8" ht="72" customHeight="1">
      <c r="A8" s="18" t="inlineStr">
        <is>
          <t>IMP-0004</t>
        </is>
      </c>
      <c r="B8" s="18" t="inlineStr">
        <is>
          <t>کفش آدیداس</t>
        </is>
      </c>
      <c r="C8" s="18" t="inlineStr">
        <is>
          <t>کفش آدیداس
8,5
72$🤑
544gr
26,5cm
❌
برای ثبت سفارش به آیدی زیر مراجعه کنید :
@f_ati_a</t>
        </is>
      </c>
      <c r="D8" s="18" t="n">
        <v>72</v>
      </c>
      <c r="E8" s="18" t="n"/>
      <c r="F8" s="18" t="n">
        <v>544</v>
      </c>
      <c r="G8" s="18" t="inlineStr">
        <is>
          <t>کانادا</t>
        </is>
      </c>
      <c r="H8" s="18" t="inlineStr">
        <is>
          <t>کفش</t>
        </is>
      </c>
      <c r="I8" s="18" t="inlineStr">
        <is>
          <t>export_photo_1039@04-02-2026_14-24-12.jpg</t>
        </is>
      </c>
      <c r="J8" s="18" t="n"/>
      <c r="K8" s="18" t="n"/>
      <c r="L8" s="18" t="n"/>
      <c r="M8" s="18" t="n"/>
      <c r="N8" s="18">
        <f>D8*تنظیمات!$B$3*تنظیمات!$B$5+(F8/1000)*تنظیمات!$B$4</f>
        <v/>
      </c>
    </row>
    <row r="9" ht="72" customHeight="1">
      <c r="A9" s="18" t="inlineStr">
        <is>
          <t>IMP-0005</t>
        </is>
      </c>
      <c r="B9" s="18" t="inlineStr">
        <is>
          <t>کفش Mk</t>
        </is>
      </c>
      <c r="C9" s="18" t="inlineStr">
        <is>
          <t>کفش Mk
60$
8
464gr
8,5
458gr
برای ثبت سفارش به آیدی زیر مراجعه کنید :
❌
@f_ati_a
موجود تهران ✨
ارسال فوری 🚚
خرید بلک‌فرایدی کانادا 🇨🇦
قیمت استثنایی و محدود 👗</t>
        </is>
      </c>
      <c r="D9" s="18" t="n">
        <v>60</v>
      </c>
      <c r="E9" s="18" t="n"/>
      <c r="F9" s="18" t="n">
        <v>464</v>
      </c>
      <c r="G9" s="18" t="inlineStr">
        <is>
          <t>تهران</t>
        </is>
      </c>
      <c r="H9" s="18" t="inlineStr">
        <is>
          <t>کفش</t>
        </is>
      </c>
      <c r="I9" s="18" t="inlineStr">
        <is>
          <t>export_photo_1044@04-02-2026_14-27-38.jpg</t>
        </is>
      </c>
      <c r="J9" s="18" t="n"/>
      <c r="K9" s="18" t="n"/>
      <c r="L9" s="18" t="n"/>
      <c r="M9" s="18" t="n"/>
      <c r="N9" s="18">
        <f>D9*تنظیمات!$B$3*تنظیمات!$B$5+(F9/1000)*تنظیمات!$B$4</f>
        <v/>
      </c>
    </row>
    <row r="10" ht="72" customHeight="1">
      <c r="A10" s="18" t="inlineStr">
        <is>
          <t>IMP-0006</t>
        </is>
      </c>
      <c r="B10" s="18" t="inlineStr">
        <is>
          <t>آشواگاندا (Ashwagandha) 🌱</t>
        </is>
      </c>
      <c r="C10" s="18" t="inlineStr">
        <is>
          <t>آشواگاندا (Ashwagandha) 🌱
گیاه معروف آیورودایی که این روزها برای مدیریت استرس و بالا بردن کیفیت حال عمومی خیلی مورد توجهه.
✨ چرا انقدر محبوبه؟
✅ کمک به کاهش استرس و تنش‌های روزمره
✅ کمک به بهبود خلق‌وخو و تعادل ذهنی
✅ افزایش سطح انرژی و کاهش احساس خستگی
✅ کمک به تمرکز و عملکرد ذهنی بهتر
✅ پشتیبانی از سیستم ایمنی بدن
✅ ایجاد حس سرزندگی و حالِ بهتر در طول روز
✅ کمک به بهبود کیفیت خواب
💪 در کنار این‌ها، بعضی تحقیقات نشون دادن که آشواگاندا می‌تونه در موارد زیر نقش حمایتی داشته باشه:
▫️ کمک به تنظیم قند خون و کاهش التهاب
▫️ کمک به کاهش هورمون استرس (کورتیزول)
▫️ پشتیبانی از عملکرد مغز، حافظه و یادگیری
▫️ کمک به بهبود توان بدنی و ریکاوری عضلات
▫️ کمک به تعادل هورمونی در برخی افراد
▫️ کمک به بهبود میل جنسی و انرژی عمومی
19.99$</t>
        </is>
      </c>
      <c r="D10" s="18" t="n">
        <v>19.99</v>
      </c>
      <c r="E10" s="18" t="n"/>
      <c r="F10" s="18" t="n"/>
      <c r="G10" s="18" t="inlineStr">
        <is>
          <t>کانادا</t>
        </is>
      </c>
      <c r="H10" s="18" t="inlineStr">
        <is>
          <t>دارو و سلامتی</t>
        </is>
      </c>
      <c r="I10" s="18" t="inlineStr">
        <is>
          <t>export_photo_1047@08-02-2026_17-08-19.jpg</t>
        </is>
      </c>
      <c r="J10" s="18" t="n"/>
      <c r="K10" s="18" t="n"/>
      <c r="L10" s="18" t="n"/>
      <c r="M10" s="18" t="n"/>
      <c r="N10" s="18">
        <f>D10*تنظیمات!$B$3*تنظیمات!$B$5+(F10/1000)*تنظیمات!$B$4</f>
        <v/>
      </c>
    </row>
    <row r="11" ht="72" customHeight="1">
      <c r="A11" s="18" t="inlineStr">
        <is>
          <t>IMP-0007</t>
        </is>
      </c>
      <c r="B11" s="18" t="inlineStr">
        <is>
          <t>منیزیوم سیترات</t>
        </is>
      </c>
      <c r="C11" s="18" t="inlineStr">
        <is>
          <t>منیزیوم سیترات
شکلی از منیزیم با قابلیت جذب آسان برای افرادی که اسید معده کمی دارند، منحصراً در کاستکو، بدون گلوتن، کمک به رشد و حفظ سلامت استخوان‌ها و دندان‌ها، کمک به متابولیسم مواد مغذی، مواد تشکیل دهنده با کیفیت بالا، بدون رنگ یا شیرین کننده مصنوعی، غیر GMO، سازگار با سیاره زمین، آزمایش شده برای آلرژن‌ها
شکلی از منیزیم با قابلیت جذب آسان برای افرادی که اسید معده کمی دارند، منحصراً در کاستکو، بدون گلوتن، کمک به...
بیشتر ببینید
منیزیم قابل جذب برای اسید معده کم: ایده‌آل برای افرادی که سطح اسید معده کمی دارند
حمایت از سلامت استخوان و دندان: کمک به رشد و حفظ سلامت استخوان‌ها و دندان‌ها
کمک به متابولیسم مواد مغذی: کمک به متابولیسم کربوهیدرات‌ها، پروتئین‌ها و چربی‌ها
34.99$
360gr
2030
برای ثبت سفارش به آیدی زیر مراجعه کنید :
@f_ati_a</t>
        </is>
      </c>
      <c r="D11" s="18" t="n">
        <v>34.99</v>
      </c>
      <c r="E11" s="18" t="n"/>
      <c r="F11" s="18" t="n">
        <v>360</v>
      </c>
      <c r="G11" s="18" t="inlineStr">
        <is>
          <t>کانادا</t>
        </is>
      </c>
      <c r="H11" s="18" t="inlineStr">
        <is>
          <t>دارو و سلامتی</t>
        </is>
      </c>
      <c r="I11" s="18" t="inlineStr">
        <is>
          <t>export_photo_1048@09-02-2026_11-16-28.jpg</t>
        </is>
      </c>
      <c r="J11" s="18" t="n"/>
      <c r="K11" s="18" t="n"/>
      <c r="L11" s="18" t="n"/>
      <c r="M11" s="18" t="n"/>
      <c r="N11" s="18">
        <f>D11*تنظیمات!$B$3*تنظیمات!$B$5+(F11/1000)*تنظیمات!$B$4</f>
        <v/>
      </c>
    </row>
    <row r="12" ht="72" customHeight="1">
      <c r="A12" s="18" t="inlineStr">
        <is>
          <t>IMP-0008</t>
        </is>
      </c>
      <c r="B12" s="18" t="inlineStr">
        <is>
          <t>osteo joint ease</t>
        </is>
      </c>
      <c r="C12" s="18" t="inlineStr">
        <is>
          <t>osteo joint ease
ضد التهاب: ترکیب گلوکزامین و کندرویتین سولفات در کنار متیل سولفونیل متان (MSM)، منگنز، بور و هیالورونیک اسید، به تأمین بلوک‌های سازنده کلیدی که بافت مفصلی سالم را تشکیل می‌دهند، کمک می‌کند. این مواد مغذی همچنین از تجزیه نامطلوب غضروف که مشخصه آرتروز است، جلوگیری می‌کنند و به تسکین التهاب مفاصل و درد و ناراحتی آرتروز کمک می‌کنند.
مسکن طبیعی درد: این فرمول نوآورانه حاوی InflamEase ثبت اختراع شده، ترکیبی هم‌افزایی از گیاهان آنتی‌اکسیدان، ضدالتهاب و تسکین‌دهنده درد (از جمله بوسولیا و کورکومین از زردچوبه) است که درد و التهاب را به سرعت تسکین می‌دهد. این یک فرمول ۱۰۰٪ طبیعی است که درد مرتبط با آرتروز را برطرف می‌کند و از تخریب غضروف محافظت می‌کند.
🌺32$
418gr
2028
برای ثبت سفارش به آیدی زیر مراجعه کنید :
@f_ati_a</t>
        </is>
      </c>
      <c r="D12" s="18" t="n">
        <v>32</v>
      </c>
      <c r="E12" s="18" t="n"/>
      <c r="F12" s="18" t="n">
        <v>418</v>
      </c>
      <c r="G12" s="18" t="inlineStr">
        <is>
          <t>کانادا</t>
        </is>
      </c>
      <c r="H12" s="18" t="inlineStr">
        <is>
          <t>دارو و سلامتی</t>
        </is>
      </c>
      <c r="I12" s="18" t="inlineStr">
        <is>
          <t>export_photo_1049@09-02-2026_11-19-12.jpg</t>
        </is>
      </c>
      <c r="J12" s="18" t="n"/>
      <c r="K12" s="18" t="n"/>
      <c r="L12" s="18" t="n"/>
      <c r="M12" s="18" t="n"/>
      <c r="N12" s="18">
        <f>D12*تنظیمات!$B$3*تنظیمات!$B$5+(F12/1000)*تنظیمات!$B$4</f>
        <v/>
      </c>
    </row>
    <row r="13" ht="72" customHeight="1">
      <c r="A13" s="18" t="inlineStr">
        <is>
          <t>IMP-0009</t>
        </is>
      </c>
      <c r="B13" s="18" t="inlineStr">
        <is>
          <t>قرص ویتامین D3</t>
        </is>
      </c>
      <c r="C13" s="18" t="inlineStr">
        <is>
          <t>قرص ویتامین D3
یک D3فرموله شده با Quali-D، طبیعی ممتاز،
هر قرص ویتامین D Jamieson 1000 یک واحد بین‌المللی ویتامین D ضروری را فراهم می‌کند و به بدن در جذب کلسیم کمک می‌کند و باعث رشد و رشد استخوان‌ها و دندان‌های قوی و سالم می‌شود
٧٨gr
9.99$
9/2029
برای ثبت سفارش به آیدی زیر مراجعه کنید :
@f_ati_a</t>
        </is>
      </c>
      <c r="D13" s="18" t="n">
        <v>9.99</v>
      </c>
      <c r="E13" s="18" t="n"/>
      <c r="F13" s="18" t="n">
        <v>78</v>
      </c>
      <c r="G13" s="18" t="inlineStr">
        <is>
          <t>کانادا</t>
        </is>
      </c>
      <c r="H13" s="18" t="inlineStr">
        <is>
          <t>دارو و سلامتی</t>
        </is>
      </c>
      <c r="I13" s="18" t="inlineStr">
        <is>
          <t>export_photo_1050@09-02-2026_11-23-58.jpg</t>
        </is>
      </c>
      <c r="J13" s="18" t="n"/>
      <c r="K13" s="18" t="n"/>
      <c r="L13" s="18" t="n"/>
      <c r="M13" s="18" t="n"/>
      <c r="N13" s="18">
        <f>D13*تنظیمات!$B$3*تنظیمات!$B$5+(F13/1000)*تنظیمات!$B$4</f>
        <v/>
      </c>
    </row>
    <row r="14" ht="72" customHeight="1">
      <c r="A14" s="18" t="inlineStr">
        <is>
          <t>IMP-0010</t>
        </is>
      </c>
      <c r="B14" s="18" t="inlineStr">
        <is>
          <t>D3450</t>
        </is>
      </c>
      <c r="C14" s="18" t="inlineStr">
        <is>
          <t>D3450
ویتامین دی جمیسون 450 عدد Jamieson Vitamin D3 2500IU
سلامت قلب و عروق
بهبود خلق‌وخو و سلامت روان
تقویت سیستم ایمنی
کاهش خطر ابتلا به پوکی استخوان
پیشگیری از کمبود ویتامین D
12$
106gr
9/2028
برای ثبت سفارش به آیدی زیر مراجعه کنید :
@f_ati_a</t>
        </is>
      </c>
      <c r="D14" s="18" t="n">
        <v>12</v>
      </c>
      <c r="E14" s="18" t="n"/>
      <c r="F14" s="18" t="n">
        <v>106</v>
      </c>
      <c r="G14" s="18" t="inlineStr">
        <is>
          <t>کانادا</t>
        </is>
      </c>
      <c r="H14" s="18" t="inlineStr">
        <is>
          <t>دارو و سلامتی</t>
        </is>
      </c>
      <c r="I14" s="18" t="inlineStr">
        <is>
          <t>export_photo_1051@09-02-2026_11-30-36.jpg</t>
        </is>
      </c>
      <c r="J14" s="18" t="n"/>
      <c r="K14" s="18" t="n"/>
      <c r="L14" s="18" t="n"/>
      <c r="M14" s="18" t="n"/>
      <c r="N14" s="18">
        <f>D14*تنظیمات!$B$3*تنظیمات!$B$5+(F14/1000)*تنظیمات!$B$4</f>
        <v/>
      </c>
    </row>
    <row r="15" ht="72" customHeight="1">
      <c r="A15" s="18" t="inlineStr">
        <is>
          <t>IMP-0011</t>
        </is>
      </c>
      <c r="B15" s="18" t="inlineStr">
        <is>
          <t>Glucosamine</t>
        </is>
      </c>
      <c r="C15" s="18" t="inlineStr">
        <is>
          <t>Glucosamine
condition
گلوکزآمین کندرویتین و ام اس ام کرکلند Kirkland Glucosamine Chondroitin &amp; MSM
• به تسکین درد مفاصل مرتبط با آرتروز کمک می کند
• از تخریب غضروف محافظت می کند
• عامل حفظ سلامت غضروف و مفاصل
• بهبود درد و عملکرد مفاصل در افراد مبتلا به استئوآرتریت، به ویژه زانو یا لگن
• کاهش تخریب غضروف مفصل و پیشرفت بیماری های مفصلی مرتبط با افزایش سن
300 کپسول
32.99$
628gr
2028
برای ثبت سفارش به آیدی زیر مراجعه کنید :
@f_ati_a</t>
        </is>
      </c>
      <c r="D15" s="18" t="n">
        <v>32.99</v>
      </c>
      <c r="E15" s="18" t="n"/>
      <c r="F15" s="18" t="n">
        <v>628</v>
      </c>
      <c r="G15" s="18" t="inlineStr">
        <is>
          <t>کانادا</t>
        </is>
      </c>
      <c r="H15" s="18" t="inlineStr">
        <is>
          <t>دارو و سلامتی</t>
        </is>
      </c>
      <c r="I15" s="18" t="inlineStr">
        <is>
          <t>export_photo_1052@09-02-2026_11-35-36.jpg</t>
        </is>
      </c>
      <c r="J15" s="18" t="n"/>
      <c r="K15" s="18" t="n"/>
      <c r="L15" s="18" t="n"/>
      <c r="M15" s="18" t="n"/>
      <c r="N15" s="18">
        <f>D15*تنظیمات!$B$3*تنظیمات!$B$5+(F15/1000)*تنظیمات!$B$4</f>
        <v/>
      </c>
    </row>
    <row r="16" ht="72" customHeight="1">
      <c r="A16" s="18" t="inlineStr">
        <is>
          <t>IMP-0012</t>
        </is>
      </c>
      <c r="B16" s="18" t="inlineStr">
        <is>
          <t>گلوکوزامین و کندرویتین</t>
        </is>
      </c>
      <c r="C16" s="18" t="inlineStr">
        <is>
          <t>کارایی
دو ترکیبی که به طور طبیعی در غضروف یافت می شوند را در یک فرمول مناسب برای محافظت در برابر زوال غضروف، تسکین درد، و کاهش سفتی و حساسیت در افراد مبتلا به استئوآرتریت ترکیب کرده ایم. در غضروف، گلوکزامین به رشد سلول ها و حفظ ساختار کمک می کند
محصول
کانادا
مشخصات
گلوکوزامین سولفات 500mg کندروین سولفات 400mg
تعداد در یک بسته
۱۴۰
Mr/2029
32$
440gr
برای ثبت سفارش به آیدی زیر مراجعه کنید :
@f_ati_a</t>
        </is>
      </c>
      <c r="D16" s="18" t="n">
        <v>32</v>
      </c>
      <c r="E16" s="18" t="n"/>
      <c r="F16" s="18" t="n">
        <v>440</v>
      </c>
      <c r="G16" s="18" t="inlineStr">
        <is>
          <t>کانادا</t>
        </is>
      </c>
      <c r="H16" s="18" t="inlineStr">
        <is>
          <t>دارو و سلامتی</t>
        </is>
      </c>
      <c r="I16" s="18" t="inlineStr">
        <is>
          <t>export_photo_1053@09-02-2026_11-59-42.jpg</t>
        </is>
      </c>
      <c r="J16" s="18" t="n"/>
      <c r="K16" s="18" t="n"/>
      <c r="L16" s="18" t="n"/>
      <c r="M16" s="18" t="n"/>
      <c r="N16" s="18">
        <f>D16*تنظیمات!$B$3*تنظیمات!$B$5+(F16/1000)*تنظیمات!$B$4</f>
        <v/>
      </c>
    </row>
    <row r="17" ht="72" customHeight="1">
      <c r="A17" s="18" t="inlineStr">
        <is>
          <t>IMP-0013</t>
        </is>
      </c>
      <c r="B17" s="18" t="inlineStr">
        <is>
          <t>قرص ایبوپروفن و متوکاربامول</t>
        </is>
      </c>
      <c r="C17" s="18" t="inlineStr">
        <is>
          <t>قرص ایبوپروفن و متوکاربامول
تسکین دردهای عضلانی و کمر پلاتینیوم
ضد درد
شل کننده عضلات
14,99$
100gr
۸۰ عدد کپسول
mr/2028
برای ثبت سفارش به آیدی زیر مراجعه کنید :
@f_ati_a</t>
        </is>
      </c>
      <c r="D17" s="18" t="n">
        <v>14.99</v>
      </c>
      <c r="E17" s="18" t="n"/>
      <c r="F17" s="18" t="n">
        <v>100</v>
      </c>
      <c r="G17" s="18" t="inlineStr">
        <is>
          <t>کانادا</t>
        </is>
      </c>
      <c r="H17" s="18" t="inlineStr">
        <is>
          <t>دارو و سلامتی</t>
        </is>
      </c>
      <c r="I17" s="18" t="inlineStr">
        <is>
          <t>export_photo_1056@09-02-2026_12-02-06.jpg</t>
        </is>
      </c>
      <c r="J17" s="18" t="n"/>
      <c r="K17" s="18" t="n"/>
      <c r="L17" s="18" t="n"/>
      <c r="M17" s="18" t="n"/>
      <c r="N17" s="18">
        <f>D17*تنظیمات!$B$3*تنظیمات!$B$5+(F17/1000)*تنظیمات!$B$4</f>
        <v/>
      </c>
    </row>
    <row r="18" ht="72" customHeight="1">
      <c r="A18" s="18" t="inlineStr">
        <is>
          <t>IMP-0014</t>
        </is>
      </c>
      <c r="B18" s="18" t="inlineStr">
        <is>
          <t>قرص</t>
        </is>
      </c>
      <c r="C18" s="18" t="inlineStr">
        <is>
          <t>#قرص
### Focus Factor Brain
Supplement &amp; Complete Multivitamin
اگر به دنبال یک مکمل عالی برای تقویت حافظه، تمرکز و عملکرد مغز هستید،
Focus Factor
گزینه‌ای بی‌نظیر است. این مکمل نه تنها یک مولتی‌ویتامین کامل است، بلکه شامل ترکیبات خاصی است که به بهبود سلامت مغز کمک می‌کند.
#### ویژگی‌ها:
-
تقویت حافظه و تمرکز:
فرمول بالینی آزمایش شده این محصول به بهبود حافظه، تمرکز و توانایی تفکر کمک می‌کند.
-
مواد مغذی برای مغز:
ترکیباتی چون
زینک، منیزیم، ویتامین‌های B6 و B12، و ویتامین D
به همراه
Bacopa Monnieri
و
تیروسین
برای تغذیه مغز و بهبود کارایی آن به کار رفته‌اند.
-
کیفیت بالا:
Focus Factor فاقد رنگ‌های مصنوعی، شیرین‌کننده‌های مصنوعی و شربت ذرت با فروکتوز بالا است و از مواد باکیفیت استفاده می‌کند.
#### مزایای کلیدی:
-
افزایش توانایی شناختی:
ترکیبات موجود در این مکمل به بهبود عملکرد شناختی و افزایش توانایی‌های ذهنی کمک می‌کنند.
-
تامین انرژی روزانه
٢٣۶gr
4/2028
۱۲۰ عددی
۲۸.۹۹$:
@f_ati_a</t>
        </is>
      </c>
      <c r="D18" s="18" t="n">
        <v>28.99</v>
      </c>
      <c r="E18" s="18" t="n"/>
      <c r="F18" s="18" t="n">
        <v>236</v>
      </c>
      <c r="G18" s="18" t="inlineStr">
        <is>
          <t>کانادا</t>
        </is>
      </c>
      <c r="H18" s="18" t="inlineStr">
        <is>
          <t>دارو و سلامتی</t>
        </is>
      </c>
      <c r="I18" s="18" t="inlineStr">
        <is>
          <t>export_photo_1057@09-02-2026_13-05-28.jpg</t>
        </is>
      </c>
      <c r="J18" s="18" t="n"/>
      <c r="K18" s="18" t="n"/>
      <c r="L18" s="18" t="n"/>
      <c r="M18" s="18" t="n"/>
      <c r="N18" s="18">
        <f>D18*تنظیمات!$B$3*تنظیمات!$B$5+(F18/1000)*تنظیمات!$B$4</f>
        <v/>
      </c>
    </row>
    <row r="19" ht="72" customHeight="1">
      <c r="A19" s="18" t="inlineStr">
        <is>
          <t>IMP-0015</t>
        </is>
      </c>
      <c r="B19" s="18" t="inlineStr">
        <is>
          <t>omegaQsterols</t>
        </is>
      </c>
      <c r="C19" s="18" t="inlineStr">
        <is>
          <t>omegaQsterols
omega3&amp;co10
امگا و‌کو کیو 10
200تایی
382gوزن
قیمت ۳۳.۹۹$
Al/2028
این قرص حاوی ترکیبی از امگا-3، CoQ10 و استرول‌های گیاهی است که به سلامت قلب و عروق، کاهش تری‌گلیسیرید و کلسترول، و حمایت از سلامت شناختی و مغز کمک می‌کند. همچنین، می‌تواند دفعات سردردهای میگرنی و علائم مرتبط را کاهش دهد. این محصول دارای کپسول‌های نرم با آزادسازی تأخیری و جذب بالاتر از فرمول‌های استاندارد است.
برای ثبت سفارش به آیدی زیر مراجعه کنید :
@f_ati_a</t>
        </is>
      </c>
      <c r="D19" s="18" t="n">
        <v>33.99</v>
      </c>
      <c r="E19" s="18" t="n"/>
      <c r="F19" s="18" t="n"/>
      <c r="G19" s="18" t="inlineStr">
        <is>
          <t>کانادا</t>
        </is>
      </c>
      <c r="H19" s="18" t="inlineStr">
        <is>
          <t>دارو و سلامتی</t>
        </is>
      </c>
      <c r="I19" s="18" t="inlineStr">
        <is>
          <t>export_photo_1058@09-02-2026_13-12-20.jpg</t>
        </is>
      </c>
      <c r="J19" s="18" t="n"/>
      <c r="K19" s="18" t="n"/>
      <c r="L19" s="18" t="n"/>
      <c r="M19" s="18" t="n"/>
      <c r="N19" s="18">
        <f>D19*تنظیمات!$B$3*تنظیمات!$B$5+(F19/1000)*تنظیمات!$B$4</f>
        <v/>
      </c>
    </row>
    <row r="20" ht="72" customHeight="1">
      <c r="A20" s="18" t="inlineStr">
        <is>
          <t>IMP-0016</t>
        </is>
      </c>
      <c r="B20" s="18" t="inlineStr">
        <is>
          <t>Ferrous Sulfate</t>
        </is>
      </c>
      <c r="C20" s="18" t="inlineStr">
        <is>
          <t>Ferrous Sulfate
آیا احساس خستگی و کمبود انرژی می‌کنید؟
فقر آهن ممکن است دلیل اصلی این مشکلات باشد، اما حالا با Ferrous Gluconate از Wampole، مشکلی نیست!
این قرص حاوی آهن مهمی است که به تولید و عملکرد صحیح گلبول های قرمز خون کمک می‌کند، بنابراین شما می‌توانید انرژی لازم برای فعالیت‌های روزمره خود را به دست آورید و از خستگی رها شوید. با مصرف روزانه یک قرص، به همراه غذا، شما می‌توانید بهترین نتیجه را به دست آورید. همچنین به یاد داشته باشید که این قرص را با فاصله‌ای از مصرف دیگر داروها یا مکمل‌های غذایی مصرف کنید. با Ferrous Gluconate، به بهترین شکل مراقبت از سلامتی خود را داشته باشید و از زندگی بهتری لذت ببرید!"
😍
۱۰۰ عددی
۹.۹۹$
Ma/2027
وزن ۷۲g
برای ثبت سفارش به آیدی زیر مراجعه کنید :
@f_ati_a</t>
        </is>
      </c>
      <c r="D20" s="18" t="n">
        <v>9.99</v>
      </c>
      <c r="E20" s="18" t="n"/>
      <c r="F20" s="18" t="n">
        <v>72</v>
      </c>
      <c r="G20" s="18" t="inlineStr">
        <is>
          <t>کانادا</t>
        </is>
      </c>
      <c r="H20" s="18" t="inlineStr">
        <is>
          <t>دارو و سلامتی</t>
        </is>
      </c>
      <c r="I20" s="18" t="inlineStr">
        <is>
          <t>export_photo_1059@09-02-2026_13-15-23.jpg</t>
        </is>
      </c>
      <c r="J20" s="18" t="n"/>
      <c r="K20" s="18" t="n"/>
      <c r="L20" s="18" t="n"/>
      <c r="M20" s="18" t="n"/>
      <c r="N20" s="18">
        <f>D20*تنظیمات!$B$3*تنظیمات!$B$5+(F20/1000)*تنظیمات!$B$4</f>
        <v/>
      </c>
    </row>
    <row r="21" ht="72" customHeight="1">
      <c r="A21" s="18" t="inlineStr">
        <is>
          <t>IMP-0017</t>
        </is>
      </c>
      <c r="B21" s="18" t="inlineStr">
        <is>
          <t>کیف lole</t>
        </is>
      </c>
      <c r="C21" s="18" t="inlineStr">
        <is>
          <t>کیف lole
آبی
20$
244gr
برای ثبت سفارش به آیدی زیر مراجعه کنید :
@f_ati_a
موجود تهران ✨
ارسال فوری 🚚
خرید بلک‌فرایدی کانادا 🇨🇦
قیمت استثنایی و محدود 👗</t>
        </is>
      </c>
      <c r="D21" s="18" t="n">
        <v>20</v>
      </c>
      <c r="E21" s="18" t="n"/>
      <c r="F21" s="18" t="n">
        <v>244</v>
      </c>
      <c r="G21" s="18" t="inlineStr">
        <is>
          <t>تهران</t>
        </is>
      </c>
      <c r="H21" s="18" t="inlineStr">
        <is>
          <t>کیف</t>
        </is>
      </c>
      <c r="I21" s="18" t="inlineStr">
        <is>
          <t>export_photo_1061@16-02-2026_12-09-32.jpg</t>
        </is>
      </c>
      <c r="J21" s="18" t="n"/>
      <c r="K21" s="18" t="n"/>
      <c r="L21" s="18" t="n"/>
      <c r="M21" s="18" t="n"/>
      <c r="N21" s="18">
        <f>D21*تنظیمات!$B$3*تنظیمات!$B$5+(F21/1000)*تنظیمات!$B$4</f>
        <v/>
      </c>
    </row>
    <row r="22" ht="72" customHeight="1">
      <c r="A22" s="18" t="inlineStr">
        <is>
          <t>IMP-0018</t>
        </is>
      </c>
      <c r="B22" s="18" t="inlineStr">
        <is>
          <t>بلوز شلوار مخمل Velour</t>
        </is>
      </c>
      <c r="C22" s="18" t="inlineStr">
        <is>
          <t>بلوز شلوار مخمل Velour
28.99$
664gr
M
نصف زیر بغل ۶۲cm
نصف دور کمر ۳۶cm
برای ثبت سفارش به آیدی زیر مراجعه کنید :
@f_ati_a</t>
        </is>
      </c>
      <c r="D22" s="18" t="n">
        <v>28.99</v>
      </c>
      <c r="E22" s="18" t="n"/>
      <c r="F22" s="18" t="n">
        <v>664</v>
      </c>
      <c r="G22" s="18" t="inlineStr">
        <is>
          <t>کانادا</t>
        </is>
      </c>
      <c r="H22" s="18" t="inlineStr">
        <is>
          <t>لباس</t>
        </is>
      </c>
      <c r="I22" s="18" t="inlineStr">
        <is>
          <t>export_photo_1065@16-02-2026_12-33-30.jpg</t>
        </is>
      </c>
      <c r="J22" s="18" t="n"/>
      <c r="K22" s="18" t="n"/>
      <c r="L22" s="18" t="n"/>
      <c r="M22" s="18" t="n"/>
      <c r="N22" s="18">
        <f>D22*تنظیمات!$B$3*تنظیمات!$B$5+(F22/1000)*تنظیمات!$B$4</f>
        <v/>
      </c>
    </row>
    <row r="23" ht="72" customHeight="1">
      <c r="A23" s="18" t="inlineStr">
        <is>
          <t>IMP-0019</t>
        </is>
      </c>
      <c r="B23" s="18" t="inlineStr">
        <is>
          <t>کلاه ck</t>
        </is>
      </c>
      <c r="C23" s="18" t="inlineStr">
        <is>
          <t>کلاه ck
23$
100gr
برای ثبت سفارش به آیدی زیر مراجعه کنید :
@f_ati_a
موجود تهران ✨
ارسال فوری 🚚
خرید بلک‌فرایدی کانادا 🇨🇦
قیمت استثنایی و محدود 👗</t>
        </is>
      </c>
      <c r="D23" s="18" t="n">
        <v>23</v>
      </c>
      <c r="E23" s="18" t="n"/>
      <c r="F23" s="18" t="n">
        <v>100</v>
      </c>
      <c r="G23" s="18" t="inlineStr">
        <is>
          <t>تهران</t>
        </is>
      </c>
      <c r="H23" s="18" t="inlineStr">
        <is>
          <t>اکسسوری</t>
        </is>
      </c>
      <c r="I23" s="18" t="inlineStr">
        <is>
          <t>export_photo_1069@18-02-2026_12-38-32.jpg</t>
        </is>
      </c>
      <c r="J23" s="18" t="n"/>
      <c r="K23" s="18" t="n"/>
      <c r="L23" s="18" t="n"/>
      <c r="M23" s="18" t="n"/>
      <c r="N23" s="18">
        <f>D23*تنظیمات!$B$3*تنظیمات!$B$5+(F23/1000)*تنظیمات!$B$4</f>
        <v/>
      </c>
    </row>
    <row r="24" ht="72" customHeight="1">
      <c r="A24" s="18" t="inlineStr">
        <is>
          <t>IMP-0020</t>
        </is>
      </c>
      <c r="B24" s="18" t="inlineStr">
        <is>
          <t>کلاه ck</t>
        </is>
      </c>
      <c r="C24" s="18" t="inlineStr">
        <is>
          <t>کلاه ck
23$
106gr
❌
برای ثبت سفارش به آیدی زیر مراجعه کنید :
@f_ati_a
موجود تهران ✨
ارسال فوری 🚚
خرید بلک‌فرایدی کانادا 🇨🇦
قیمت استثنایی و محدود 👗</t>
        </is>
      </c>
      <c r="D24" s="18" t="n">
        <v>23</v>
      </c>
      <c r="E24" s="18" t="n"/>
      <c r="F24" s="18" t="n">
        <v>106</v>
      </c>
      <c r="G24" s="18" t="inlineStr">
        <is>
          <t>تهران</t>
        </is>
      </c>
      <c r="H24" s="18" t="inlineStr">
        <is>
          <t>اکسسوری</t>
        </is>
      </c>
      <c r="I24" s="18" t="inlineStr">
        <is>
          <t>export_photo_1073@18-02-2026_12-48-49.jpg</t>
        </is>
      </c>
      <c r="J24" s="18" t="n"/>
      <c r="K24" s="18" t="n"/>
      <c r="L24" s="18" t="n"/>
      <c r="M24" s="18" t="n"/>
      <c r="N24" s="18">
        <f>D24*تنظیمات!$B$3*تنظیمات!$B$5+(F24/1000)*تنظیمات!$B$4</f>
        <v/>
      </c>
    </row>
    <row r="25" ht="72" customHeight="1">
      <c r="A25" s="18" t="inlineStr">
        <is>
          <t>IMP-0021</t>
        </is>
      </c>
      <c r="B25" s="18" t="inlineStr">
        <is>
          <t>کلاه تامی</t>
        </is>
      </c>
      <c r="C25" s="18" t="inlineStr">
        <is>
          <t>کلاه تامی
19$
110gr
و کرم
برای ثبت سفارش به آیدی زیر مراجعه کنید :
@f_ati_a
موجود تهران ✨
ارسال فوری 🚚
خرید بلک‌فرایدی کانادا 🇨🇦
قیمت استثنایی و محدود 👗</t>
        </is>
      </c>
      <c r="D25" s="18" t="n">
        <v>19</v>
      </c>
      <c r="E25" s="18" t="n"/>
      <c r="F25" s="18" t="n">
        <v>110</v>
      </c>
      <c r="G25" s="18" t="inlineStr">
        <is>
          <t>تهران</t>
        </is>
      </c>
      <c r="H25" s="18" t="inlineStr">
        <is>
          <t>اکسسوری</t>
        </is>
      </c>
      <c r="I25" s="18" t="inlineStr">
        <is>
          <t>export_photo_1074@18-02-2026_12-56-13.jpg</t>
        </is>
      </c>
      <c r="J25" s="18" t="n"/>
      <c r="K25" s="18" t="n"/>
      <c r="L25" s="18" t="n"/>
      <c r="M25" s="18" t="n"/>
      <c r="N25" s="18">
        <f>D25*تنظیمات!$B$3*تنظیمات!$B$5+(F25/1000)*تنظیمات!$B$4</f>
        <v/>
      </c>
    </row>
    <row r="26" ht="72" customHeight="1">
      <c r="A26" s="18" t="inlineStr">
        <is>
          <t>IMP-0022</t>
        </is>
      </c>
      <c r="B26" s="18" t="inlineStr">
        <is>
          <t>mk</t>
        </is>
      </c>
      <c r="C26" s="18" t="inlineStr">
        <is>
          <t>mk
سایز7.5
49$
موجودی کانادا</t>
        </is>
      </c>
      <c r="D26" s="18" t="n">
        <v>49</v>
      </c>
      <c r="E26" s="18" t="n"/>
      <c r="F26" s="18" t="n"/>
      <c r="G26" s="18" t="inlineStr">
        <is>
          <t>کانادا</t>
        </is>
      </c>
      <c r="H26" s="18" t="inlineStr">
        <is>
          <t>سایر</t>
        </is>
      </c>
      <c r="I26" s="18" t="inlineStr">
        <is>
          <t>export_photo_1075@26-05-2026_05-16-01.jpg</t>
        </is>
      </c>
      <c r="J26" s="18" t="n"/>
      <c r="K26" s="18" t="n"/>
      <c r="L26" s="18" t="n"/>
      <c r="M26" s="18" t="n"/>
      <c r="N26" s="18">
        <f>D26*تنظیمات!$B$3*تنظیمات!$B$5+(F26/1000)*تنظیمات!$B$4</f>
        <v/>
      </c>
    </row>
    <row r="27" ht="72" customHeight="1">
      <c r="A27" s="18" t="inlineStr">
        <is>
          <t>IMP-0023</t>
        </is>
      </c>
      <c r="B27" s="18" t="inlineStr">
        <is>
          <t>سایز ۱۰</t>
        </is>
      </c>
      <c r="C27" s="18" t="inlineStr">
        <is>
          <t>سایز ۱۰
guess
35$
موجودی کانادا</t>
        </is>
      </c>
      <c r="D27" s="18" t="n">
        <v>35</v>
      </c>
      <c r="E27" s="18" t="n"/>
      <c r="F27" s="18" t="n"/>
      <c r="G27" s="18" t="inlineStr">
        <is>
          <t>کانادا</t>
        </is>
      </c>
      <c r="H27" s="18" t="inlineStr">
        <is>
          <t>سایر</t>
        </is>
      </c>
      <c r="I27" s="18" t="inlineStr">
        <is>
          <t>export_photo_1078@26-05-2026_05-18-40.jpg</t>
        </is>
      </c>
      <c r="J27" s="18" t="n"/>
      <c r="K27" s="18" t="n"/>
      <c r="L27" s="18" t="n"/>
      <c r="M27" s="18" t="n"/>
      <c r="N27" s="18">
        <f>D27*تنظیمات!$B$3*تنظیمات!$B$5+(F27/1000)*تنظیمات!$B$4</f>
        <v/>
      </c>
    </row>
    <row r="28" ht="72" customHeight="1">
      <c r="A28" s="18" t="inlineStr">
        <is>
          <t>IMP-0024</t>
        </is>
      </c>
      <c r="B28" s="18" t="inlineStr">
        <is>
          <t>اسکچرز</t>
        </is>
      </c>
      <c r="C28" s="18" t="inlineStr">
        <is>
          <t>اسکچرز
۲۵$
4us
36
23cm</t>
        </is>
      </c>
      <c r="D28" s="18" t="n">
        <v>25</v>
      </c>
      <c r="E28" s="18" t="n"/>
      <c r="F28" s="18" t="n"/>
      <c r="G28" s="18" t="inlineStr">
        <is>
          <t>کانادا</t>
        </is>
      </c>
      <c r="H28" s="18" t="inlineStr">
        <is>
          <t>کفش</t>
        </is>
      </c>
      <c r="I28" s="18" t="inlineStr">
        <is>
          <t>export_photo_1082@26-05-2026_05-23-24.jpg</t>
        </is>
      </c>
      <c r="J28" s="18" t="n"/>
      <c r="K28" s="18" t="n"/>
      <c r="L28" s="18" t="n"/>
      <c r="M28" s="18" t="n"/>
      <c r="N28" s="18">
        <f>D28*تنظیمات!$B$3*تنظیمات!$B$5+(F28/1000)*تنظیمات!$B$4</f>
        <v/>
      </c>
    </row>
    <row r="29" ht="72" customHeight="1">
      <c r="A29" s="18" t="inlineStr">
        <is>
          <t>IMP-0025</t>
        </is>
      </c>
      <c r="B29" s="18" t="inlineStr">
        <is>
          <t>R78 Wind Nylon</t>
        </is>
      </c>
      <c r="C29" s="18" t="inlineStr">
        <is>
          <t>R78 Wind Nylon
39$
مردانه پوما
این کتونی ترکیبی از استایل ترندی امروزی و طراحی الهام‌گرفته از دهه ۷۰ داره ✨
مدل PUMA R78 Wind Nylon با فیت اسپرت و ترکیب متفاوت رنگ‌ها و متریال‌ها، ظاهر خاص و چشمگیری ایجاد کرده.
همچنین با کفی SoftFoam+ طراحی شده که باعث میشه پا توی طول روز راحت و نرم بمونه 👟
کوشن و راحتی خیلی خوبی داره و برای استفاده روزمره عالیه
سایز 9us</t>
        </is>
      </c>
      <c r="D29" s="18" t="n">
        <v>39</v>
      </c>
      <c r="E29" s="18" t="n"/>
      <c r="F29" s="18" t="n"/>
      <c r="G29" s="18" t="inlineStr">
        <is>
          <t>کانادا</t>
        </is>
      </c>
      <c r="H29" s="18" t="inlineStr">
        <is>
          <t>کفش</t>
        </is>
      </c>
      <c r="I29" s="18" t="inlineStr">
        <is>
          <t>export_photo_1085@26-05-2026_05-27-17.jpg</t>
        </is>
      </c>
      <c r="J29" s="18" t="n"/>
      <c r="K29" s="18" t="n"/>
      <c r="L29" s="18" t="n"/>
      <c r="M29" s="18" t="n"/>
      <c r="N29" s="18">
        <f>D29*تنظیمات!$B$3*تنظیمات!$B$5+(F29/1000)*تنظیمات!$B$4</f>
        <v/>
      </c>
    </row>
    <row r="30" ht="72" customHeight="1">
      <c r="A30" s="18" t="inlineStr">
        <is>
          <t>IMP-0026</t>
        </is>
      </c>
      <c r="B30" s="18" t="inlineStr">
        <is>
          <t>Dkny</t>
        </is>
      </c>
      <c r="C30" s="18" t="inlineStr">
        <is>
          <t>Dkny
35$
سایز ۳۸</t>
        </is>
      </c>
      <c r="D30" s="18" t="n">
        <v>35</v>
      </c>
      <c r="E30" s="18" t="n"/>
      <c r="F30" s="18" t="n"/>
      <c r="G30" s="18" t="inlineStr">
        <is>
          <t>کانادا</t>
        </is>
      </c>
      <c r="H30" s="18" t="inlineStr">
        <is>
          <t>سایر</t>
        </is>
      </c>
      <c r="I30" s="18" t="inlineStr">
        <is>
          <t>export_photo_1088@26-05-2026_05-30-39.jpg</t>
        </is>
      </c>
      <c r="J30" s="18" t="n"/>
      <c r="K30" s="18" t="n"/>
      <c r="L30" s="18" t="n"/>
      <c r="M30" s="18" t="n"/>
      <c r="N30" s="18">
        <f>D30*تنظیمات!$B$3*تنظیمات!$B$5+(F30/1000)*تنظیمات!$B$4</f>
        <v/>
      </c>
    </row>
    <row r="31" ht="72" customHeight="1">
      <c r="A31" s="18" t="inlineStr">
        <is>
          <t>IMP-0027</t>
        </is>
      </c>
      <c r="B31" s="18" t="inlineStr">
        <is>
          <t>کفش.old navy</t>
        </is>
      </c>
      <c r="C31" s="18" t="inlineStr">
        <is>
          <t>کفش.old navy
8
276gr
موجودی تهران
😇قیمت در حراجی الیکا شاپ .    15$😇
برای ثبت سفارش به آیدی زیر مراجعه کنید :
@fatemehalamdar68
@rshb63</t>
        </is>
      </c>
      <c r="D31" s="18" t="n">
        <v>15</v>
      </c>
      <c r="E31" s="18" t="n"/>
      <c r="F31" s="18" t="n">
        <v>276</v>
      </c>
      <c r="G31" s="18" t="inlineStr">
        <is>
          <t>کانادا</t>
        </is>
      </c>
      <c r="H31" s="18" t="inlineStr">
        <is>
          <t>کفش</t>
        </is>
      </c>
      <c r="I31" s="18" t="inlineStr">
        <is>
          <t>export_photo_1096@11-06-2026_00-28-05.jpg</t>
        </is>
      </c>
      <c r="J31" s="18" t="n"/>
      <c r="K31" s="18" t="n"/>
      <c r="L31" s="18" t="n"/>
      <c r="M31" s="18" t="n"/>
      <c r="N31" s="18">
        <f>D31*تنظیمات!$B$3*تنظیمات!$B$5+(F31/1000)*تنظیمات!$B$4</f>
        <v/>
      </c>
    </row>
    <row r="32" ht="72" customHeight="1">
      <c r="A32" s="18" t="inlineStr">
        <is>
          <t>IMP-0028</t>
        </is>
      </c>
      <c r="B32" s="18" t="inlineStr">
        <is>
          <t>صندل مردانه cross</t>
        </is>
      </c>
      <c r="C32" s="18" t="inlineStr">
        <is>
          <t>صندل مردانه  cross
M/10
w/12
638gr
موجودی تهران
😇قیمت در حراجی الیکا شاپ .    60$😇
برای ثبت سفارش به آیدی زیر مراجعه کنید :
@Rh_reyhan
@f_ati_a</t>
        </is>
      </c>
      <c r="D32" s="18" t="n">
        <v>60</v>
      </c>
      <c r="E32" s="18" t="n"/>
      <c r="F32" s="18" t="n">
        <v>638</v>
      </c>
      <c r="G32" s="18" t="inlineStr">
        <is>
          <t>کانادا</t>
        </is>
      </c>
      <c r="H32" s="18" t="inlineStr">
        <is>
          <t>کفش</t>
        </is>
      </c>
      <c r="I32" s="18" t="inlineStr">
        <is>
          <t>export_photo_1103@11-06-2026_00-30-02.jpg</t>
        </is>
      </c>
      <c r="J32" s="18" t="n"/>
      <c r="K32" s="18" t="n"/>
      <c r="L32" s="18" t="n"/>
      <c r="M32" s="18" t="n"/>
      <c r="N32" s="18">
        <f>D32*تنظیمات!$B$3*تنظیمات!$B$5+(F32/1000)*تنظیمات!$B$4</f>
        <v/>
      </c>
    </row>
    <row r="33" ht="72" customHeight="1">
      <c r="A33" s="18" t="inlineStr">
        <is>
          <t>IMP-0029</t>
        </is>
      </c>
      <c r="B33" s="18" t="inlineStr">
        <is>
          <t>کفش</t>
        </is>
      </c>
      <c r="C33" s="18" t="inlineStr">
        <is>
          <t>کفش
adidas مردانه
9
828gr
موجودی تهران
😇قیمت در حراجی الیکا شاپ .    59$😇
برای ثبت سفارش به آیدی زیر مراجعه کنید :
@Rh_reyhan
@f_ati_a</t>
        </is>
      </c>
      <c r="D33" s="18" t="n">
        <v>59</v>
      </c>
      <c r="E33" s="18" t="n"/>
      <c r="F33" s="18" t="n">
        <v>828</v>
      </c>
      <c r="G33" s="18" t="inlineStr">
        <is>
          <t>کانادا</t>
        </is>
      </c>
      <c r="H33" s="18" t="inlineStr">
        <is>
          <t>کفش</t>
        </is>
      </c>
      <c r="I33" s="18" t="inlineStr">
        <is>
          <t>export_photo_1104@11-06-2026_00-44-09.jpg</t>
        </is>
      </c>
      <c r="J33" s="18" t="n"/>
      <c r="K33" s="18" t="n"/>
      <c r="L33" s="18" t="n"/>
      <c r="M33" s="18" t="n"/>
      <c r="N33" s="18">
        <f>D33*تنظیمات!$B$3*تنظیمات!$B$5+(F33/1000)*تنظیمات!$B$4</f>
        <v/>
      </c>
    </row>
    <row r="34" ht="72" customHeight="1">
      <c r="A34" s="18" t="inlineStr">
        <is>
          <t>IMP-0030</t>
        </is>
      </c>
      <c r="B34" s="18" t="inlineStr">
        <is>
          <t>کفش</t>
        </is>
      </c>
      <c r="C34" s="18" t="inlineStr">
        <is>
          <t>کفش
Mk
9
800gr
موجودی تهران
😇قیمت در حراجی الیکا شاپ .    59$😇
❌
برای ثبت سفارش به آیدی زیر مراجعه کنید :
@Rh_reyhan
@f_ati_a</t>
        </is>
      </c>
      <c r="D34" s="18" t="n">
        <v>59</v>
      </c>
      <c r="E34" s="18" t="n"/>
      <c r="F34" s="18" t="n">
        <v>800</v>
      </c>
      <c r="G34" s="18" t="inlineStr">
        <is>
          <t>کانادا</t>
        </is>
      </c>
      <c r="H34" s="18" t="inlineStr">
        <is>
          <t>کفش</t>
        </is>
      </c>
      <c r="I34" s="18" t="inlineStr">
        <is>
          <t>export_photo_1107@11-06-2026_00-45-20.jpg</t>
        </is>
      </c>
      <c r="J34" s="18" t="n"/>
      <c r="K34" s="18" t="n"/>
      <c r="L34" s="18" t="n"/>
      <c r="M34" s="18" t="n"/>
      <c r="N34" s="18">
        <f>D34*تنظیمات!$B$3*تنظیمات!$B$5+(F34/1000)*تنظیمات!$B$4</f>
        <v/>
      </c>
    </row>
    <row r="35" ht="72" customHeight="1">
      <c r="A35" s="18" t="inlineStr">
        <is>
          <t>IMP-0031</t>
        </is>
      </c>
      <c r="B35" s="18" t="inlineStr">
        <is>
          <t>کفش بچگانه</t>
        </is>
      </c>
      <c r="C35" s="18" t="inlineStr">
        <is>
          <t>کفش بچگانه
puma
uk:1
us:2c
458gr
موجودی تهران
😇قیمت در حراجی الیکا شاپ .    29$😇
برای ثبت سفارش به آیدی زیر مراجعه کنید :
@Rh_reyhan
@f_ati_a</t>
        </is>
      </c>
      <c r="D35" s="18" t="n">
        <v>29</v>
      </c>
      <c r="E35" s="18" t="n"/>
      <c r="F35" s="18" t="n">
        <v>458</v>
      </c>
      <c r="G35" s="18" t="inlineStr">
        <is>
          <t>کانادا</t>
        </is>
      </c>
      <c r="H35" s="18" t="inlineStr">
        <is>
          <t>کفش</t>
        </is>
      </c>
      <c r="I35" s="18" t="inlineStr">
        <is>
          <t>export_photo_1110@11-06-2026_00-48-48.jpg</t>
        </is>
      </c>
      <c r="J35" s="18" t="n"/>
      <c r="K35" s="18" t="n"/>
      <c r="L35" s="18" t="n"/>
      <c r="M35" s="18" t="n"/>
      <c r="N35" s="18">
        <f>D35*تنظیمات!$B$3*تنظیمات!$B$5+(F35/1000)*تنظیمات!$B$4</f>
        <v/>
      </c>
    </row>
    <row r="36" ht="72" customHeight="1">
      <c r="A36" s="18" t="inlineStr">
        <is>
          <t>IMP-0032</t>
        </is>
      </c>
      <c r="B36" s="18" t="inlineStr">
        <is>
          <t>کیف کراس بادیMk</t>
        </is>
      </c>
      <c r="C36" s="18" t="inlineStr">
        <is>
          <t>کیف کراس بادیMk
380gr
ابعاد:
16*24*5
82$
رنگ:
وانیلی
قهوه ای
برای ثبت سفارش به آیدی زیر مراجعه کنید :
🇮🇷🇮🇷ارسال سریع تهران</t>
        </is>
      </c>
      <c r="D36" s="18" t="n">
        <v>82</v>
      </c>
      <c r="E36" s="18" t="n"/>
      <c r="F36" s="18" t="n">
        <v>380</v>
      </c>
      <c r="G36" s="18" t="inlineStr">
        <is>
          <t>کانادا</t>
        </is>
      </c>
      <c r="H36" s="18" t="inlineStr">
        <is>
          <t>کیف</t>
        </is>
      </c>
      <c r="I36" s="18" t="inlineStr">
        <is>
          <t>export_photo_1122@14-07-2026_19-15-38.jpg</t>
        </is>
      </c>
      <c r="J36" s="18" t="n"/>
      <c r="K36" s="18" t="n"/>
      <c r="L36" s="18" t="n"/>
      <c r="M36" s="18" t="n"/>
      <c r="N36" s="18">
        <f>D36*تنظیمات!$B$3*تنظیمات!$B$5+(F36/1000)*تنظیمات!$B$4</f>
        <v/>
      </c>
    </row>
    <row r="37" ht="72" customHeight="1">
      <c r="A37" s="18" t="inlineStr">
        <is>
          <t>IMP-0033</t>
        </is>
      </c>
      <c r="B37" s="18" t="inlineStr">
        <is>
          <t>کیف کراس بادی Mk</t>
        </is>
      </c>
      <c r="C37" s="18" t="inlineStr">
        <is>
          <t>کیف کراس بادی Mk
75$
۴۰۰gr
ابعاد:
14*29*7
در دو رنگ :
وانیلی
مشکی
برای ثبت سفارش به آیدی زیر مراجعه کنید :
🇮🇷🇮🇷ارسال سریع تهران</t>
        </is>
      </c>
      <c r="D37" s="18" t="n">
        <v>75</v>
      </c>
      <c r="E37" s="18" t="n"/>
      <c r="F37" s="18" t="n">
        <v>400</v>
      </c>
      <c r="G37" s="18" t="inlineStr">
        <is>
          <t>کانادا</t>
        </is>
      </c>
      <c r="H37" s="18" t="inlineStr">
        <is>
          <t>کیف</t>
        </is>
      </c>
      <c r="I37" s="18" t="inlineStr">
        <is>
          <t>export_photo_1130@14-07-2026_19-17-33.jpg</t>
        </is>
      </c>
      <c r="J37" s="18" t="n"/>
      <c r="K37" s="18" t="n"/>
      <c r="L37" s="18" t="n"/>
      <c r="M37" s="18" t="n"/>
      <c r="N37" s="18">
        <f>D37*تنظیمات!$B$3*تنظیمات!$B$5+(F37/1000)*تنظیمات!$B$4</f>
        <v/>
      </c>
    </row>
    <row r="38" ht="72" customHeight="1">
      <c r="A38" s="18" t="inlineStr">
        <is>
          <t>IMP-0034</t>
        </is>
      </c>
      <c r="B38" s="18" t="inlineStr">
        <is>
          <t>خلاصه ابعاد</t>
        </is>
      </c>
      <c r="C38" s="18" t="inlineStr">
        <is>
          <t>خلاصه ابعاد
📏 27.3 × 19.1 × 10.2 سانتی‌متر (عرض × ارتفاع × عمق)
119$🇮🇷🇮🇷
ارسال سریع تهران</t>
        </is>
      </c>
      <c r="D38" s="18" t="n">
        <v>119</v>
      </c>
      <c r="E38" s="18" t="n"/>
      <c r="F38" s="18" t="n"/>
      <c r="G38" s="18" t="inlineStr">
        <is>
          <t>کانادا</t>
        </is>
      </c>
      <c r="H38" s="18" t="inlineStr">
        <is>
          <t>سایر</t>
        </is>
      </c>
      <c r="I38" s="18" t="inlineStr">
        <is>
          <t>export_photo_1134@14-07-2026_19-23-12.jpg</t>
        </is>
      </c>
      <c r="J38" s="18" t="n"/>
      <c r="K38" s="18" t="n"/>
      <c r="L38" s="18" t="n"/>
      <c r="M38" s="18" t="n"/>
      <c r="N38" s="18">
        <f>D38*تنظیمات!$B$3*تنظیمات!$B$5+(F38/1000)*تنظیمات!$B$4</f>
        <v/>
      </c>
    </row>
    <row r="39" ht="72" customHeight="1">
      <c r="A39" s="18" t="inlineStr">
        <is>
          <t>IMP-0035</t>
        </is>
      </c>
      <c r="B39" s="18" t="inlineStr">
        <is>
          <t>تامی</t>
        </is>
      </c>
      <c r="C39" s="18" t="inlineStr">
        <is>
          <t>تامی
8.5us
39
6us
36
از ۲۱۹$
شده
۲۹$
🇨🇦ارسالی از کانادا</t>
        </is>
      </c>
      <c r="D39" s="18" t="n">
        <v>29</v>
      </c>
      <c r="E39" s="18" t="n"/>
      <c r="F39" s="18" t="n"/>
      <c r="G39" s="18" t="inlineStr">
        <is>
          <t>کانادا</t>
        </is>
      </c>
      <c r="H39" s="18" t="inlineStr">
        <is>
          <t>سایر</t>
        </is>
      </c>
      <c r="I39" s="18" t="inlineStr">
        <is>
          <t>export_photo_1139@15-07-2026_21-56-37.jpg</t>
        </is>
      </c>
      <c r="J39" s="18" t="n"/>
      <c r="K39" s="18" t="n"/>
      <c r="L39" s="18" t="n"/>
      <c r="M39" s="18" t="n"/>
      <c r="N39" s="18">
        <f>D39*تنظیمات!$B$3*تنظیمات!$B$5+(F39/1000)*تنظیمات!$B$4</f>
        <v/>
      </c>
    </row>
    <row r="40" ht="72" customHeight="1">
      <c r="A40" s="18" t="inlineStr">
        <is>
          <t>IMP-0036</t>
        </is>
      </c>
      <c r="B40" s="18" t="inlineStr">
        <is>
          <t>• ساخته شده از ۱۰۰٪ پلی‌یورتان (PU) با دوام و کیفیت بالا</t>
        </is>
      </c>
      <c r="C40" s="18" t="inlineStr">
        <is>
          <t>• ساخته شده از ۱۰۰٪ پلی‌یورتان (PU) با دوام و کیفیت بالا
• دارای دو دسته برای حمل راحت
• مزین به لوگوی فلزی مونوگرام در قسمت جلو
• دارای یک محفظه اصلی جادار با بسته‌شدن زیپی برای نگهداری ایمن وسایل
• طراحی ساده و یکدست (Solid) با ظاهری شیک و مینیمال
• ابعاد تقریبی: ۴۵ × ۳۲ × ۱۵ سانتی‌متر
• تمیز کردن آسان با یک دستمال مرطوب
کیف تامی
۴۲$
قیمت قبل تخفیف ۱۲۹$
با خرید این کیف
۸۷$ save
می کنید
🇨🇦ارسالی از کانادا</t>
        </is>
      </c>
      <c r="D40" s="18" t="n">
        <v>87</v>
      </c>
      <c r="E40" s="18" t="n"/>
      <c r="F40" s="18" t="n"/>
      <c r="G40" s="18" t="inlineStr">
        <is>
          <t>کانادا</t>
        </is>
      </c>
      <c r="H40" s="18" t="inlineStr">
        <is>
          <t>کیف</t>
        </is>
      </c>
      <c r="I40" s="18" t="inlineStr">
        <is>
          <t>export_photo_1145@16-07-2026_02-22-14.jpg</t>
        </is>
      </c>
      <c r="J40" s="18" t="n"/>
      <c r="K40" s="18" t="n"/>
      <c r="L40" s="18" t="n"/>
      <c r="M40" s="18" t="n"/>
      <c r="N40" s="18">
        <f>D40*تنظیمات!$B$3*تنظیمات!$B$5+(F40/1000)*تنظیمات!$B$4</f>
        <v/>
      </c>
    </row>
    <row r="41" ht="72" customHeight="1">
      <c r="A41" s="18" t="inlineStr">
        <is>
          <t>IMP-0037</t>
        </is>
      </c>
      <c r="B41" s="18" t="inlineStr">
        <is>
          <t>کیف کوچک و کاربردی</t>
        </is>
      </c>
      <c r="C41" s="18" t="inlineStr">
        <is>
          <t>� کیف کوچک و کاربردی
📏 ابعاد به سانتی‌متر:
طول: 18 سانتی‌متر
عرض: 5 سانتی‌متر
ارتفاع: 10.8 سانتی‌متر
✨ دارای جیب داخلی برای نظم بیشتر
🔒 زیپ‌دار
💛 یراق‌آلات طلایی آنتیک
🌿 جنس: کتان (Canvas) با آستر پلی‌استر
جمع‌وجور، سبک و مناسب استفاده روزمره یا مهمانی‌های سبک 💫
موجودی تهران
ارسال سریع
۳۵$</t>
        </is>
      </c>
      <c r="D41" s="18" t="n">
        <v>35</v>
      </c>
      <c r="E41" s="18" t="n"/>
      <c r="F41" s="18" t="n"/>
      <c r="G41" s="18" t="inlineStr">
        <is>
          <t>کانادا</t>
        </is>
      </c>
      <c r="H41" s="18" t="inlineStr">
        <is>
          <t>کیف</t>
        </is>
      </c>
      <c r="I41" s="18" t="inlineStr">
        <is>
          <t>export_photo_1151@16-07-2026_02-40-09.jpg</t>
        </is>
      </c>
      <c r="J41" s="18" t="n"/>
      <c r="K41" s="18" t="n"/>
      <c r="L41" s="18" t="n"/>
      <c r="M41" s="18" t="n"/>
      <c r="N41" s="18">
        <f>D41*تنظیمات!$B$3*تنظیمات!$B$5+(F41/1000)*تنظیمات!$B$4</f>
        <v/>
      </c>
    </row>
    <row r="42" ht="72" customHeight="1">
      <c r="A42" s="18" t="inlineStr">
        <is>
          <t>IMP-0038</t>
        </is>
      </c>
      <c r="B42" s="18" t="inlineStr">
        <is>
          <t>کیف guess</t>
        </is>
      </c>
      <c r="C42" s="18" t="inlineStr">
        <is>
          <t>کیف guess
Guess Anise HandBag
❌
60$
موجودی تهران</t>
        </is>
      </c>
      <c r="D42" s="18" t="n">
        <v>60</v>
      </c>
      <c r="E42" s="18" t="n"/>
      <c r="F42" s="18" t="n"/>
      <c r="G42" s="18" t="inlineStr">
        <is>
          <t>کانادا</t>
        </is>
      </c>
      <c r="H42" s="18" t="inlineStr">
        <is>
          <t>کیف</t>
        </is>
      </c>
      <c r="I42" s="18" t="inlineStr">
        <is>
          <t>export_photo_1154@16-07-2026_02-41-50.jpg</t>
        </is>
      </c>
      <c r="J42" s="18" t="n"/>
      <c r="K42" s="18" t="n"/>
      <c r="L42" s="18" t="n"/>
      <c r="M42" s="18" t="n"/>
      <c r="N42" s="18">
        <f>D42*تنظیمات!$B$3*تنظیمات!$B$5+(F42/1000)*تنظیمات!$B$4</f>
        <v/>
      </c>
    </row>
    <row r="43" ht="72" customHeight="1">
      <c r="A43" s="18" t="inlineStr">
        <is>
          <t>IMP-0039</t>
        </is>
      </c>
      <c r="B43" s="18" t="inlineStr">
        <is>
          <t>کت زنانه تامی هیلفیگر (Tommy Hilfiger) 💙</t>
        </is>
      </c>
      <c r="C43" s="18" t="inlineStr">
        <is>
          <t>کت زنانه تامی هیلفیگر (Tommy Hilfiger) 💙
یک کت ساده و شیک با طراحی کلاسیک که برای استایل‌های روزمره و کژوال بسیار کاربردی است. فرم Regular Fit باعث می‌شود راحت روی بدن قرار بگیرد و به‌راحتی با شلوار جین، شلوار کتان یا شلوارک ست شود.
✨ ویژگی‌ها:
مدل: کت زنانه کژوال و کلاسیک
رنگ: سرمه‌ای (Navy)
یقه: گرد
آستین: بلند
فیت: معمولی (Regular Fit)
جنس: ۱۰۰٪ پلی‌آمید (سبک و مقاوم)
شستشو: دستی
مناسب برای استفاده روزمره، سفر، استایل شهری و زمانی که یک لایه سبک و شیک برای روی لباس نیاز دارید. 💙
تامی
سایز لارج
و xl
❌❌❌
از ۱۶۹$
شده
۴۵$</t>
        </is>
      </c>
      <c r="D43" s="18" t="n">
        <v>45</v>
      </c>
      <c r="E43" s="18" t="n"/>
      <c r="F43" s="18" t="n"/>
      <c r="G43" s="18" t="inlineStr">
        <is>
          <t>کانادا</t>
        </is>
      </c>
      <c r="H43" s="18" t="inlineStr">
        <is>
          <t>لباس</t>
        </is>
      </c>
      <c r="I43" s="18" t="inlineStr">
        <is>
          <t>export_photo_1159@16-07-2026_04-28-36.jpg</t>
        </is>
      </c>
      <c r="J43" s="18" t="n"/>
      <c r="K43" s="18" t="n"/>
      <c r="L43" s="18" t="n"/>
      <c r="M43" s="18" t="n"/>
      <c r="N43" s="18">
        <f>D43*تنظیمات!$B$3*تنظیمات!$B$5+(F43/1000)*تنظیمات!$B$4</f>
        <v/>
      </c>
    </row>
    <row r="44" ht="72" customHeight="1">
      <c r="A44" s="18" t="inlineStr">
        <is>
          <t>IMP-0040</t>
        </is>
      </c>
      <c r="B44" s="18" t="inlineStr">
        <is>
          <t>دل: Softshell Rain Coat (پارچه نرم و مقاوم مناسب هوای بارانی)</t>
        </is>
      </c>
      <c r="C44" s="18" t="inlineStr">
        <is>
          <t>دل: Softshell Rain Coat (پارچه نرم و مقاوم مناسب هوای بارانی)
💙 رنگ: سرمه‌ای (Navy)
🧥 کلاه‌دار برای محافظت بیشتر در برابر باد و باران
🎀 کمر قابل تنظیم برای فرم‌دهی زیباتر به استایل
از ۱۶۹$ شده
۴۵$
لارج
ایکس لارج</t>
        </is>
      </c>
      <c r="D44" s="18" t="n">
        <v>45</v>
      </c>
      <c r="E44" s="18" t="n"/>
      <c r="F44" s="18" t="n"/>
      <c r="G44" s="18" t="inlineStr">
        <is>
          <t>کانادا</t>
        </is>
      </c>
      <c r="H44" s="18" t="inlineStr">
        <is>
          <t>لباس</t>
        </is>
      </c>
      <c r="I44" s="18" t="inlineStr">
        <is>
          <t>export_photo_1160@16-07-2026_04-33-08.jpg</t>
        </is>
      </c>
      <c r="J44" s="18" t="n"/>
      <c r="K44" s="18" t="n"/>
      <c r="L44" s="18" t="n"/>
      <c r="M44" s="18" t="n"/>
      <c r="N44" s="18">
        <f>D44*تنظیمات!$B$3*تنظیمات!$B$5+(F44/1000)*تنظیمات!$B$4</f>
        <v/>
      </c>
    </row>
    <row r="45" ht="72" customHeight="1">
      <c r="A45" s="18" t="inlineStr">
        <is>
          <t>IMP-0041</t>
        </is>
      </c>
      <c r="B45" s="18" t="inlineStr">
        <is>
          <t>39$</t>
        </is>
      </c>
      <c r="C45" s="18" t="inlineStr">
        <is>
          <t>39$
کیف کراس بادی تامی
موجودی کانادا</t>
        </is>
      </c>
      <c r="D45" s="18" t="n">
        <v>39</v>
      </c>
      <c r="E45" s="18" t="n"/>
      <c r="F45" s="18" t="n"/>
      <c r="G45" s="18" t="inlineStr">
        <is>
          <t>کانادا</t>
        </is>
      </c>
      <c r="H45" s="18" t="inlineStr">
        <is>
          <t>کیف</t>
        </is>
      </c>
      <c r="I45" s="18" t="inlineStr">
        <is>
          <t>export_photo_1161@16-07-2026_06-29-41.jpg</t>
        </is>
      </c>
      <c r="J45" s="18" t="n"/>
      <c r="K45" s="18" t="n"/>
      <c r="L45" s="18" t="n"/>
      <c r="M45" s="18" t="n"/>
      <c r="N45" s="18">
        <f>D45*تنظیمات!$B$3*تنظیمات!$B$5+(F45/1000)*تنظیمات!$B$4</f>
        <v/>
      </c>
    </row>
    <row r="46" ht="72" customHeight="1">
      <c r="A46" s="18" t="inlineStr">
        <is>
          <t>IMP-0042</t>
        </is>
      </c>
      <c r="B46" s="18" t="inlineStr">
        <is>
          <t>طول: ۱۴ اینچ ≈ ۳۵.۶ سانتی‌متر</t>
        </is>
      </c>
      <c r="C46" s="18" t="inlineStr">
        <is>
          <t>ارتفاع: ۸ اینچ ≈ ۲۰.۳ سانتی‌متر
طول: ۱۴ اینچ ≈ ۳۵.۶ سانتی‌متر
عرض: ۸ اینچ ≈ ۲۰.۳ سانتی‌متر
ابعاد نهایی: ۲۰.۳ × ۳۵.۶ × ۲۰.۳ سانتی‌متر (ارتفاع × طول × عرض
دافل بگ (ساک ورزشی/مسافرتی /دوشی)تامی هیلفیگر
۱۶$
قیمت قبل تخفیف ۶۰$
you
saved 44$😍
موجود کانادا با این قیمت
2 عدد</t>
        </is>
      </c>
      <c r="D46" s="18" t="n">
        <v>44</v>
      </c>
      <c r="E46" s="18" t="n"/>
      <c r="F46" s="18" t="n"/>
      <c r="G46" s="18" t="inlineStr">
        <is>
          <t>کانادا</t>
        </is>
      </c>
      <c r="H46" s="18" t="inlineStr">
        <is>
          <t>سایر</t>
        </is>
      </c>
      <c r="I46" s="18" t="inlineStr">
        <is>
          <t>export_photo_1167@16-07-2026_19-59-01.jpg</t>
        </is>
      </c>
      <c r="J46" s="18" t="n"/>
      <c r="K46" s="18" t="n"/>
      <c r="L46" s="18" t="n"/>
      <c r="M46" s="18" t="n"/>
      <c r="N46" s="18">
        <f>D46*تنظیمات!$B$3*تنظیمات!$B$5+(F46/1000)*تنظیمات!$B$4</f>
        <v/>
      </c>
    </row>
    <row r="47" ht="72" customHeight="1">
      <c r="A47" s="18" t="inlineStr">
        <is>
          <t>IMP-0043</t>
        </is>
      </c>
      <c r="B47" s="18" t="inlineStr">
        <is>
          <t>ماشین اصلاح صورت زنانه فیلیپس (Philips) مدل BRR474/00</t>
        </is>
      </c>
      <c r="C47" s="18" t="inlineStr">
        <is>
          <t>ماشین اصلاح صورت زنانه فیلیپس (Philips) مدل BRR474/00
✨ ویژگی‌ها:
دستگاه اصلاح موی صورت بانوان برای لب بالا، چانه، گونه‌ها و خط فک
اصلاحی ملایم و بدون آسیب به پوست
مناسب استفاده در منزل و همراه برای سفر
طراحی کوچک و قابل حمل
کمک به از بین بردن موهای زائد صورت به‌صورت سریع و راحت
مناسب برای استفاده روزمره
⭐ پرفروش‌ترین محصول در دسته دستگاه‌های پاکسازی و اصلاح صورت برقی
⭐ بیش از ۹۰۰ خرید در ماه گذشته
یک گزینه کاربردی برای خانم‌هایی که دنبال اصلاح سریع و تمیز صورت بدون مراجعه به سالن هستند.
موجود کانادا
اماده ارسال
:
بدون درد و مناسب پوست‌های حساس
سریع برای مرتب کردن موهای ریز صورت
کوچک و مناسب کیف برای سفر
باعث ضخیم‌تر شدن موها نمی‌شود (این یک باور اشتباه رایج است
25$
❌</t>
        </is>
      </c>
      <c r="D47" s="18" t="n">
        <v>25</v>
      </c>
      <c r="E47" s="18" t="n"/>
      <c r="F47" s="18" t="n"/>
      <c r="G47" s="18" t="inlineStr">
        <is>
          <t>کانادا</t>
        </is>
      </c>
      <c r="H47" s="18" t="inlineStr">
        <is>
          <t>کیف</t>
        </is>
      </c>
      <c r="I47" s="18" t="inlineStr">
        <is>
          <t>export_photo_1169@16-07-2026_20-05-17.jpg</t>
        </is>
      </c>
      <c r="J47" s="18" t="n"/>
      <c r="K47" s="18" t="n"/>
      <c r="L47" s="18" t="n"/>
      <c r="M47" s="18" t="n"/>
      <c r="N47" s="18">
        <f>D47*تنظیمات!$B$3*تنظیمات!$B$5+(F47/1000)*تنظیمات!$B$4</f>
        <v/>
      </c>
    </row>
    <row r="48" ht="72" customHeight="1">
      <c r="A48" s="18" t="inlineStr">
        <is>
          <t>IMP-0044</t>
        </is>
      </c>
      <c r="B48" s="18" t="inlineStr">
        <is>
          <t>لگین لولولمون</t>
        </is>
      </c>
      <c r="C48" s="18" t="inlineStr">
        <is>
          <t>لگین لولولمون
lululemon Align™ High-Rise Pant with Pockets 28
سایز
۱۲
اسم رنگ
Trending ColourSteel Blue
32$
یعنی با خرید این لگین
۱۱۶$ سیو
میکنید🇨🇦🇨🇦🇨🇦
چون قیمت قبل تخفیف ۱۴۸$ بوده😉</t>
        </is>
      </c>
      <c r="D48" s="18" t="n">
        <v>148</v>
      </c>
      <c r="E48" s="18" t="n"/>
      <c r="F48" s="18" t="n"/>
      <c r="G48" s="18" t="inlineStr">
        <is>
          <t>کانادا</t>
        </is>
      </c>
      <c r="H48" s="18" t="inlineStr">
        <is>
          <t>سایر</t>
        </is>
      </c>
      <c r="I48" s="18" t="inlineStr">
        <is>
          <t>export_photo_1170@17-07-2026_02-39-00.jpg</t>
        </is>
      </c>
      <c r="J48" s="18" t="n"/>
      <c r="K48" s="18" t="n"/>
      <c r="L48" s="18" t="n"/>
      <c r="M48" s="18" t="n"/>
      <c r="N48" s="18">
        <f>D48*تنظیمات!$B$3*تنظیمات!$B$5+(F48/1000)*تنظیمات!$B$4</f>
        <v/>
      </c>
    </row>
    <row r="49" ht="72" customHeight="1">
      <c r="A49" s="18" t="inlineStr">
        <is>
          <t>IMP-0045</t>
        </is>
      </c>
      <c r="B49" s="18" t="inlineStr">
        <is>
          <t>لگینگ Ultralu™ Super-High Rise 28”</t>
        </is>
      </c>
      <c r="C49" s="18" t="inlineStr">
        <is>
          <t>لگینگ Ultralu™ Super-High Rise 28”
لگینگی ایده‌آل برای تمرین که با پارچه Ultralu™، ظاهری صاف و فرم‌دهنده به بدن می‌دهد، بدون اینکه آزادی حرکت را محدود کند.
ویژگی‌ها:
پارچه نرم، کشسان و فرم‌دهنده
کشسانی چهارطرفه برای آزادی حرکت
جذب‌کننده تعریق و خشک‌شونده سریع
دارای الیاف Lycra® برای حفظ فرم و دوام بیشتر
فاق فوق‌بلند (Super-High Rise) با قد ۲۸ اینچ، مناسب تا روی مچ پا
کمربند بدون دوخت اضافه با ساختار باندشده برای ایجاد ظاهری صاف و حمایت راحت
لبه‌های برش لیزری که روی پا فشار یا رد ایجاد نمی‌کنند
نکته سایز:
اگر معمولاً Align می‌پوشید، بهتر است یک سایز بزرگ‌تر انتخاب کنید. اگر Wunder Train می‌پوشید، همان سایز همیشگی مناسب است.
سایز
8
Trending ColourRaspberry Coulis
قیمت قبل تخفیف ۱۲۸$
قیمت حراج ۳۴$🇨🇦</t>
        </is>
      </c>
      <c r="D49" s="18" t="n">
        <v>34</v>
      </c>
      <c r="E49" s="18" t="n"/>
      <c r="F49" s="18" t="n"/>
      <c r="G49" s="18" t="inlineStr">
        <is>
          <t>کانادا</t>
        </is>
      </c>
      <c r="H49" s="18" t="inlineStr">
        <is>
          <t>لباس</t>
        </is>
      </c>
      <c r="I49" s="18" t="inlineStr">
        <is>
          <t>export_photo_1177@17-07-2026_07-47-10.jpg</t>
        </is>
      </c>
      <c r="J49" s="18" t="n"/>
      <c r="K49" s="18" t="n"/>
      <c r="L49" s="18" t="n"/>
      <c r="M49" s="18" t="n"/>
      <c r="N49" s="18">
        <f>D49*تنظیمات!$B$3*تنظیمات!$B$5+(F49/1000)*تنظیمات!$B$4</f>
        <v/>
      </c>
    </row>
    <row r="50" ht="72" customHeight="1">
      <c r="A50" s="18" t="inlineStr">
        <is>
          <t>IMP-0046</t>
        </is>
      </c>
      <c r="B50" s="18" t="inlineStr">
        <is>
          <t>ColourWashed blue</t>
        </is>
      </c>
      <c r="C50" s="18" t="inlineStr">
        <is>
          <t>ColourWashed blue
لگینگ Ultralu™ Super-High Rise 28”
لگینگی ایده‌آل برای تمرین که با پارچه Ultralu™، ظاهری صاف و فرم‌دهنده به بدن می‌دهد، بدون اینکه آزادی حرکت را محدود کند.
ویژگی‌ها:
پارچه نرم، کشسان و فرم‌دهنده
کشسانی چهارطرفه برای آزادی حرکت
جذب‌کننده تعریق و خشک‌شونده سریع
دارای الیاف Lycra® برای حفظ فرم و دوام بیشتر
فاق فوق‌بلند (Super-High Rise) با قد ۲۸ اینچ، مناسب تا روی مچ پا
کمربند بدون دوخت اضافه با ساختار باندشده برای ایجاد ظاهری صاف و حمایت راحت
لبه‌های برش لیزری که روی پا فشار یا رد ایجاد نمی‌کنند
سایز
4
قیمت قبل تخفیف ۱۲۸$
قیمت حراج ۳۴$🇨🇦</t>
        </is>
      </c>
      <c r="D50" s="18" t="n">
        <v>34</v>
      </c>
      <c r="E50" s="18" t="n"/>
      <c r="F50" s="18" t="n"/>
      <c r="G50" s="18" t="inlineStr">
        <is>
          <t>کانادا</t>
        </is>
      </c>
      <c r="H50" s="18" t="inlineStr">
        <is>
          <t>اکسسوری</t>
        </is>
      </c>
      <c r="I50" s="18" t="inlineStr">
        <is>
          <t>export_photo_1180@17-07-2026_07-53-03.jpg</t>
        </is>
      </c>
      <c r="J50" s="18" t="n"/>
      <c r="K50" s="18" t="n"/>
      <c r="L50" s="18" t="n"/>
      <c r="M50" s="18" t="n"/>
      <c r="N50" s="18">
        <f>D50*تنظیمات!$B$3*تنظیمات!$B$5+(F50/1000)*تنظیمات!$B$4</f>
        <v/>
      </c>
    </row>
    <row r="51" ht="72" customHeight="1">
      <c r="A51" s="18" t="inlineStr">
        <is>
          <t>IMP-0047</t>
        </is>
      </c>
      <c r="B51" s="18" t="inlineStr">
        <is>
          <t>lululemon Glow Up™ Super-High-Rise Tight 25</t>
        </is>
      </c>
      <c r="C51" s="18" t="inlineStr">
        <is>
          <t>lululemon Glow Up™ Super-High-Rise Tight 25
34$
سایز 8
🇨🇦</t>
        </is>
      </c>
      <c r="D51" s="18" t="n">
        <v>34</v>
      </c>
      <c r="E51" s="18" t="n"/>
      <c r="F51" s="18" t="n"/>
      <c r="G51" s="18" t="inlineStr">
        <is>
          <t>کانادا</t>
        </is>
      </c>
      <c r="H51" s="18" t="inlineStr">
        <is>
          <t>سایر</t>
        </is>
      </c>
      <c r="I51" s="18" t="inlineStr">
        <is>
          <t>export_photo_1189@17-07-2026_07-59-02.jpg</t>
        </is>
      </c>
      <c r="J51" s="18" t="n"/>
      <c r="K51" s="18" t="n"/>
      <c r="L51" s="18" t="n"/>
      <c r="M51" s="18" t="n"/>
      <c r="N51" s="18">
        <f>D51*تنظیمات!$B$3*تنظیمات!$B$5+(F51/1000)*تنظیمات!$B$4</f>
        <v/>
      </c>
    </row>
    <row r="52" ht="72" customHeight="1">
      <c r="A52" s="18" t="inlineStr">
        <is>
          <t>IMP-0048</t>
        </is>
      </c>
      <c r="B52" s="18" t="inlineStr">
        <is>
          <t>12$</t>
        </is>
      </c>
      <c r="C52" s="18" t="inlineStr">
        <is>
          <t>12$
m
L
🇨🇦</t>
        </is>
      </c>
      <c r="D52" s="18" t="n">
        <v>12</v>
      </c>
      <c r="E52" s="18" t="n"/>
      <c r="F52" s="18" t="n"/>
      <c r="G52" s="18" t="inlineStr">
        <is>
          <t>کانادا</t>
        </is>
      </c>
      <c r="H52" s="18" t="inlineStr">
        <is>
          <t>سایر</t>
        </is>
      </c>
      <c r="I52" s="18" t="inlineStr">
        <is>
          <t>export_photo_1190@17-07-2026_08-07-28.jpg</t>
        </is>
      </c>
      <c r="J52" s="18" t="n"/>
      <c r="K52" s="18" t="n"/>
      <c r="L52" s="18" t="n"/>
      <c r="M52" s="18" t="n"/>
      <c r="N52" s="18">
        <f>D52*تنظیمات!$B$3*تنظیمات!$B$5+(F52/1000)*تنظیمات!$B$4</f>
        <v/>
      </c>
    </row>
    <row r="53" ht="72" customHeight="1">
      <c r="A53" s="18" t="inlineStr">
        <is>
          <t>IMP-0049</t>
        </is>
      </c>
      <c r="B53" s="18" t="inlineStr">
        <is>
          <t>پیراهن مردانه</t>
        </is>
      </c>
      <c r="C53" s="18" t="inlineStr">
        <is>
          <t>پیراهن مردانه
نوتیکا
xxl❌
l
m
xl
12$🇨🇦
کاناذا
slim fit</t>
        </is>
      </c>
      <c r="D53" s="18" t="n">
        <v>12</v>
      </c>
      <c r="E53" s="18" t="n"/>
      <c r="F53" s="18" t="n"/>
      <c r="G53" s="18" t="inlineStr">
        <is>
          <t>کانادا</t>
        </is>
      </c>
      <c r="H53" s="18" t="inlineStr">
        <is>
          <t>لباس</t>
        </is>
      </c>
      <c r="I53" s="18" t="inlineStr">
        <is>
          <t>export_photo_1191@17-07-2026_08-46-50.jpg</t>
        </is>
      </c>
      <c r="J53" s="18" t="n"/>
      <c r="K53" s="18" t="n"/>
      <c r="L53" s="18" t="n"/>
      <c r="M53" s="18" t="n"/>
      <c r="N53" s="18">
        <f>D53*تنظیمات!$B$3*تنظیمات!$B$5+(F53/1000)*تنظیمات!$B$4</f>
        <v/>
      </c>
    </row>
    <row r="54" ht="72" customHeight="1">
      <c r="A54" s="18" t="inlineStr">
        <is>
          <t>IMP-0050</t>
        </is>
      </c>
      <c r="B54" s="18" t="inlineStr">
        <is>
          <t>کوله پشتی</t>
        </is>
      </c>
      <c r="C54" s="18" t="inlineStr">
        <is>
          <t>کوله پشتی
guess
39$
🇨🇦🇨🇦ارسالی کانادا</t>
        </is>
      </c>
      <c r="D54" s="18" t="n">
        <v>39</v>
      </c>
      <c r="E54" s="18" t="n"/>
      <c r="F54" s="18" t="n"/>
      <c r="G54" s="18" t="inlineStr">
        <is>
          <t>کانادا</t>
        </is>
      </c>
      <c r="H54" s="18" t="inlineStr">
        <is>
          <t>کیف</t>
        </is>
      </c>
      <c r="I54" s="18" t="inlineStr">
        <is>
          <t>export_photo_1195@17-07-2026_20-55-38.jpg</t>
        </is>
      </c>
      <c r="J54" s="18" t="n"/>
      <c r="K54" s="18" t="n"/>
      <c r="L54" s="18" t="n"/>
      <c r="M54" s="18" t="n"/>
      <c r="N54" s="18">
        <f>D54*تنظیمات!$B$3*تنظیمات!$B$5+(F54/1000)*تنظیمات!$B$4</f>
        <v/>
      </c>
    </row>
    <row r="55" ht="72" customHeight="1">
      <c r="A55" s="18" t="inlineStr">
        <is>
          <t>IMP-0051</t>
        </is>
      </c>
      <c r="B55" s="18" t="inlineStr">
        <is>
          <t>19.99$</t>
        </is>
      </c>
      <c r="C55" s="18" t="inlineStr">
        <is>
          <t>19.99$
شال
ck
🇨🇦ارسال از کانادا</t>
        </is>
      </c>
      <c r="D55" s="18" t="n">
        <v>19.99</v>
      </c>
      <c r="E55" s="18" t="n"/>
      <c r="F55" s="18" t="n"/>
      <c r="G55" s="18" t="inlineStr">
        <is>
          <t>کانادا</t>
        </is>
      </c>
      <c r="H55" s="18" t="inlineStr">
        <is>
          <t>اکسسوری</t>
        </is>
      </c>
      <c r="I55" s="18" t="inlineStr">
        <is>
          <t>export_photo_1196@17-07-2026_21-12-49.jpg</t>
        </is>
      </c>
      <c r="J55" s="18" t="n"/>
      <c r="K55" s="18" t="n"/>
      <c r="L55" s="18" t="n"/>
      <c r="M55" s="18" t="n"/>
      <c r="N55" s="18">
        <f>D55*تنظیمات!$B$3*تنظیمات!$B$5+(F55/1000)*تنظیمات!$B$4</f>
        <v/>
      </c>
    </row>
    <row r="56" ht="72" customHeight="1">
      <c r="A56" s="18" t="inlineStr">
        <is>
          <t>IMP-0052</t>
        </is>
      </c>
      <c r="B56" s="18" t="inlineStr">
        <is>
          <t>شال کلوین‌کلاین</t>
        </is>
      </c>
      <c r="C56" s="18" t="inlineStr">
        <is>
          <t>شال کلوین‌کلاین
۱۹.۹۹$
🇨🇦ارسال کانادا❌</t>
        </is>
      </c>
      <c r="D56" s="18" t="n">
        <v>19.99</v>
      </c>
      <c r="E56" s="18" t="n"/>
      <c r="F56" s="18" t="n"/>
      <c r="G56" s="18" t="inlineStr">
        <is>
          <t>کانادا</t>
        </is>
      </c>
      <c r="H56" s="18" t="inlineStr">
        <is>
          <t>اکسسوری</t>
        </is>
      </c>
      <c r="I56" s="18" t="inlineStr">
        <is>
          <t>export_photo_1197@17-07-2026_21-13-10.jpg</t>
        </is>
      </c>
      <c r="J56" s="18" t="n"/>
      <c r="K56" s="18" t="n"/>
      <c r="L56" s="18" t="n"/>
      <c r="M56" s="18" t="n"/>
      <c r="N56" s="18">
        <f>D56*تنظیمات!$B$3*تنظیمات!$B$5+(F56/1000)*تنظیمات!$B$4</f>
        <v/>
      </c>
    </row>
    <row r="57" ht="72" customHeight="1">
      <c r="A57" s="18" t="inlineStr">
        <is>
          <t>IMP-0053</t>
        </is>
      </c>
      <c r="B57" s="18" t="inlineStr">
        <is>
          <t>تانی</t>
        </is>
      </c>
      <c r="C57" s="18" t="inlineStr">
        <is>
          <t>تانی
سایز لارج
۳۲$</t>
        </is>
      </c>
      <c r="D57" s="18" t="n">
        <v>32</v>
      </c>
      <c r="E57" s="18" t="n"/>
      <c r="F57" s="18" t="n"/>
      <c r="G57" s="18" t="inlineStr">
        <is>
          <t>کانادا</t>
        </is>
      </c>
      <c r="H57" s="18" t="inlineStr">
        <is>
          <t>سایر</t>
        </is>
      </c>
      <c r="I57" s="18" t="inlineStr">
        <is>
          <t>export_photo_1202@17-07-2026_22-23-39.jpg</t>
        </is>
      </c>
      <c r="J57" s="18" t="n"/>
      <c r="K57" s="18" t="n"/>
      <c r="L57" s="18" t="n"/>
      <c r="M57" s="18" t="n"/>
      <c r="N57" s="18">
        <f>D57*تنظیمات!$B$3*تنظیمات!$B$5+(F57/1000)*تنظیمات!$B$4</f>
        <v/>
      </c>
    </row>
    <row r="58" ht="72" customHeight="1">
      <c r="A58" s="18" t="inlineStr">
        <is>
          <t>IMP-0054</t>
        </is>
      </c>
      <c r="B58" s="18" t="inlineStr">
        <is>
          <t>کت تامی</t>
        </is>
      </c>
      <c r="C58" s="18" t="inlineStr">
        <is>
          <t>کت تامی
استر دار
سایز
M
l
s
29$
🇨🇦🇨🇦🇨🇦ارسال کانادا</t>
        </is>
      </c>
      <c r="D58" s="18" t="n">
        <v>29</v>
      </c>
      <c r="E58" s="18" t="n"/>
      <c r="F58" s="18" t="n"/>
      <c r="G58" s="18" t="inlineStr">
        <is>
          <t>کانادا</t>
        </is>
      </c>
      <c r="H58" s="18" t="inlineStr">
        <is>
          <t>لباس</t>
        </is>
      </c>
      <c r="I58" s="18" t="inlineStr">
        <is>
          <t>export_photo_1203@17-07-2026_22-28-19.jpg</t>
        </is>
      </c>
      <c r="J58" s="18" t="n"/>
      <c r="K58" s="18" t="n"/>
      <c r="L58" s="18" t="n"/>
      <c r="M58" s="18" t="n"/>
      <c r="N58" s="18">
        <f>D58*تنظیمات!$B$3*تنظیمات!$B$5+(F58/1000)*تنظیمات!$B$4</f>
        <v/>
      </c>
    </row>
    <row r="59" ht="72" customHeight="1">
      <c r="A59" s="18" t="inlineStr">
        <is>
          <t>IMP-0055</t>
        </is>
      </c>
      <c r="B59" s="18" t="inlineStr">
        <is>
          <t>زنانه تامی</t>
        </is>
      </c>
      <c r="C59" s="18" t="inlineStr">
        <is>
          <t>زنانه تامی
سایز
s
m
xl❌
13$
🇨🇦🇨🇦</t>
        </is>
      </c>
      <c r="D59" s="18" t="n">
        <v>13</v>
      </c>
      <c r="E59" s="18" t="n"/>
      <c r="F59" s="18" t="n"/>
      <c r="G59" s="18" t="inlineStr">
        <is>
          <t>کانادا</t>
        </is>
      </c>
      <c r="H59" s="18" t="inlineStr">
        <is>
          <t>سایر</t>
        </is>
      </c>
      <c r="I59" s="18" t="inlineStr">
        <is>
          <t>export_photo_1204@20-07-2026_07-28-24.jpg</t>
        </is>
      </c>
      <c r="J59" s="18" t="n"/>
      <c r="K59" s="18" t="n"/>
      <c r="L59" s="18" t="n"/>
      <c r="M59" s="18" t="n"/>
      <c r="N59" s="18">
        <f>D59*تنظیمات!$B$3*تنظیمات!$B$5+(F59/1000)*تنظیمات!$B$4</f>
        <v/>
      </c>
    </row>
    <row r="60" ht="72" customHeight="1">
      <c r="A60" s="18" t="inlineStr">
        <is>
          <t>IMP-0056</t>
        </is>
      </c>
      <c r="B60" s="18" t="inlineStr">
        <is>
          <t>guess</t>
        </is>
      </c>
      <c r="C60" s="18" t="inlineStr">
        <is>
          <t>guess
بافت
نگین دار
قیمت ۶۹$
که تو تخفیف شده
20$
m
🇨🇦🇨🇦🇨🇦</t>
        </is>
      </c>
      <c r="D60" s="18" t="n">
        <v>20</v>
      </c>
      <c r="E60" s="18" t="n"/>
      <c r="F60" s="18" t="n"/>
      <c r="G60" s="18" t="inlineStr">
        <is>
          <t>کانادا</t>
        </is>
      </c>
      <c r="H60" s="18" t="inlineStr">
        <is>
          <t>سایر</t>
        </is>
      </c>
      <c r="I60" s="18" t="inlineStr">
        <is>
          <t>export_photo_1207@20-07-2026_07-29-30.jpg</t>
        </is>
      </c>
      <c r="J60" s="18" t="n"/>
      <c r="K60" s="18" t="n"/>
      <c r="L60" s="18" t="n"/>
      <c r="M60" s="18" t="n"/>
      <c r="N60" s="18">
        <f>D60*تنظیمات!$B$3*تنظیمات!$B$5+(F60/1000)*تنظیمات!$B$4</f>
        <v/>
      </c>
    </row>
    <row r="61" ht="72" customHeight="1">
      <c r="A61" s="18" t="inlineStr">
        <is>
          <t>IMP-0057</t>
        </is>
      </c>
      <c r="B61" s="18" t="inlineStr">
        <is>
          <t>کیف کراس‌بادی Michael Kors</t>
        </is>
      </c>
      <c r="C61" s="18" t="inlineStr">
        <is>
          <t>کیف کراس‌بادی Michael Kors
جنس: بوم با چاپ لوگو (Logo-print Canvas)
ترکیب: ۸۹.۴٪ بوم روکش‌دار، ۹.۶٪ پلی‌استر، ۱٪ پلی‌یورتان
یراق‌آلات طلایی
داخل: ۳ جای کارت
بیرون: یک جیب پشت
بند زنجیری جداشونده
ابعاد (تقریبی): ۲۲ × ۱۲ × ۵ سانتی‌متر
😍قیمت در حراجی الیکا شاپ :
فقط:۱۲۹$😍
❌</t>
        </is>
      </c>
      <c r="D61" s="18" t="n">
        <v>129</v>
      </c>
      <c r="E61" s="18" t="n"/>
      <c r="F61" s="18" t="n"/>
      <c r="G61" s="18" t="inlineStr">
        <is>
          <t>کانادا</t>
        </is>
      </c>
      <c r="H61" s="18" t="inlineStr">
        <is>
          <t>کیف</t>
        </is>
      </c>
      <c r="I61" s="18" t="inlineStr">
        <is>
          <t>export_photo_1208@21-07-2026_10-16-46.jpg</t>
        </is>
      </c>
      <c r="J61" s="18" t="n"/>
      <c r="K61" s="18" t="n"/>
      <c r="L61" s="18" t="n"/>
      <c r="M61" s="18" t="n"/>
      <c r="N61" s="18">
        <f>D61*تنظیمات!$B$3*تنظیمات!$B$5+(F61/1000)*تنظیمات!$B$4</f>
        <v/>
      </c>
    </row>
    <row r="62" ht="72" customHeight="1">
      <c r="A62" s="18" t="inlineStr">
        <is>
          <t>IMP-0058</t>
        </is>
      </c>
      <c r="B62" s="18" t="inlineStr">
        <is>
          <t>کیف رودوشی Michael Kors</t>
        </is>
      </c>
      <c r="C62" s="18" t="inlineStr">
        <is>
          <t>کیف رودوشی Michael Kors
کیفی شیک و کاربردی با طراحی جمع‌وجور، مناسب استفاده روزمره و استایل‌های مختلف. جزئیات طلایی و فرم خوش‌ساخت آن، ظاهری مدرن و جذاب به کیف داده است.
جنس: ترکیب پلی‌یورتان (چرم مصنوعی باکیفیت)
یراق‌آلات طلایی
بند جداشونده
داخل: یک جیب ساده
بسته‌شدن با زیپ
آستر: ۱۰۰٪ پلی‌استر
کاور پارچه‌ای (Dust Bag) همراه محصول نیست
ابعاد (تقریبی): ۲۷.۵ × ۱۳.۵ × ۱۱.۵ سانتی‌متر
119$</t>
        </is>
      </c>
      <c r="D62" s="18" t="n">
        <v>119</v>
      </c>
      <c r="E62" s="18" t="n"/>
      <c r="F62" s="18" t="n"/>
      <c r="G62" s="18" t="inlineStr">
        <is>
          <t>کانادا</t>
        </is>
      </c>
      <c r="H62" s="18" t="inlineStr">
        <is>
          <t>کیف</t>
        </is>
      </c>
      <c r="I62" s="18" t="inlineStr">
        <is>
          <t>export_photo_1212@21-07-2026_10-23-36.jpg</t>
        </is>
      </c>
      <c r="J62" s="18" t="n"/>
      <c r="K62" s="18" t="n"/>
      <c r="L62" s="18" t="n"/>
      <c r="M62" s="18" t="n"/>
      <c r="N62" s="18">
        <f>D62*تنظیمات!$B$3*تنظیمات!$B$5+(F62/1000)*تنظیمات!$B$4</f>
        <v/>
      </c>
    </row>
    <row r="63" ht="72" customHeight="1">
      <c r="A63" s="18" t="inlineStr">
        <is>
          <t>IMP-0059</t>
        </is>
      </c>
      <c r="B63" s="18" t="inlineStr">
        <is>
          <t>کیف دستی</t>
        </is>
      </c>
      <c r="C63" s="18" t="inlineStr">
        <is>
          <t>کیف دستی
کیفی جمع‌وجور و کاربردی با طراحی ساده و شیک، مناسب استفاده روزمره.
بسته‌شدن با زیپ
دارای دسته کوتاه
ابعاد (تقریبی): ۲۴ × ۱۹ × ۷ سانتی‌متر (عرض × ارتفاع ×
عمق)
39.99$</t>
        </is>
      </c>
      <c r="D63" s="18" t="n">
        <v>39.99</v>
      </c>
      <c r="E63" s="18" t="n"/>
      <c r="F63" s="18" t="n"/>
      <c r="G63" s="18" t="inlineStr">
        <is>
          <t>کانادا</t>
        </is>
      </c>
      <c r="H63" s="18" t="inlineStr">
        <is>
          <t>کیف</t>
        </is>
      </c>
      <c r="I63" s="18" t="inlineStr">
        <is>
          <t>export_photo_1215@21-07-2026_10-31-34.jpg</t>
        </is>
      </c>
      <c r="J63" s="18" t="n"/>
      <c r="K63" s="18" t="n"/>
      <c r="L63" s="18" t="n"/>
      <c r="M63" s="18" t="n"/>
      <c r="N63" s="18">
        <f>D63*تنظیمات!$B$3*تنظیمات!$B$5+(F63/1000)*تنظیمات!$B$4</f>
        <v/>
      </c>
    </row>
    <row r="64" ht="72" customHeight="1">
      <c r="A64" s="18" t="inlineStr">
        <is>
          <t>IMP-0060</t>
        </is>
      </c>
      <c r="B64" s="18" t="inlineStr">
        <is>
          <t>تیشرت زنانه guess</t>
        </is>
      </c>
      <c r="C64" s="18" t="inlineStr">
        <is>
          <t>تیشرت زنانه guess
xl.    ❌❌
نصف زیر بغل : ۵۲cm
L
49cm
۵ عدد M
46cm
S
44cm
😍فقط :۲۰$</t>
        </is>
      </c>
      <c r="D64" s="18" t="n">
        <v>20</v>
      </c>
      <c r="E64" s="18" t="n"/>
      <c r="F64" s="18" t="n"/>
      <c r="G64" s="18" t="inlineStr">
        <is>
          <t>کانادا</t>
        </is>
      </c>
      <c r="H64" s="18" t="inlineStr">
        <is>
          <t>لباس</t>
        </is>
      </c>
      <c r="I64" s="18" t="inlineStr">
        <is>
          <t>export_photo_1219@21-07-2026_13-07-51.jpg</t>
        </is>
      </c>
      <c r="J64" s="18" t="n"/>
      <c r="K64" s="18" t="n"/>
      <c r="L64" s="18" t="n"/>
      <c r="M64" s="18" t="n"/>
      <c r="N64" s="18">
        <f>D64*تنظیمات!$B$3*تنظیمات!$B$5+(F64/1000)*تنظیمات!$B$4</f>
        <v/>
      </c>
    </row>
    <row r="65" ht="72" customHeight="1">
      <c r="A65" s="18" t="inlineStr">
        <is>
          <t>IMP-0061</t>
        </is>
      </c>
      <c r="B65" s="18" t="inlineStr">
        <is>
          <t>adidas Handball Spezial – رنگ Earth Strata / Off White / Gum 🤎</t>
        </is>
      </c>
      <c r="C65" s="18" t="inlineStr">
        <is>
          <t>adidas Handball Spezial – رنگ Earth Strata / Off White / Gum 🤎
یک مدل کلاسیک که دوباره به یکی از انتخاب‌های محبوب استایل خیابانی تبدیل شده است. این رنگ‌بندی با ترکیب قهوه‌ای خاکی (Earth Strata)، سفید ملایم و زیره گام ظاهری گرم، شیک و متفاوت ایجاد می‌کند.
طراحی آن از کفش‌های هندبال دهه ۷۰ الهام گرفته، اما امروز بیشتر به‌عنوان یک کتانی فشن و استایل روزمره شناخته می‌شود. فرم باریک، رویه جیر نرم و جزئیات ساده باعث شده با شلوار جین، بگ، کارگو و حتی استایل مینیمال خیلی راحت ست شود.
نقطه خاص این مدل:
ظاهر رترو اما کاملاً هماهنگ با مد امروز
جیر با حس لوکس و بافت جذاب
رنگ‌های خنثی که استایل را شیک‌تر می‌کنند
طراحی ساده‌ای که از مد نمی‌افتد
Handball Spezial یعنی یک کتانی برای کسانی که دنبال لوگوی بزرگ و طرح شلوغ نیستند؛ خاص بودنش در سادگی و حس کلاسیک آن است. 🤎👟
موجود تهران
سایز ۸.۵us
110$</t>
        </is>
      </c>
      <c r="D65" s="18" t="n">
        <v>110</v>
      </c>
      <c r="E65" s="18" t="n"/>
      <c r="F65" s="18" t="n"/>
      <c r="G65" s="18" t="inlineStr">
        <is>
          <t>تهران</t>
        </is>
      </c>
      <c r="H65" s="18" t="inlineStr">
        <is>
          <t>کفش</t>
        </is>
      </c>
      <c r="I65" s="18" t="inlineStr">
        <is>
          <t>export_photo_1223@21-07-2026_22-05-18.jpg</t>
        </is>
      </c>
      <c r="J65" s="18" t="n"/>
      <c r="K65" s="18" t="n"/>
      <c r="L65" s="18" t="n"/>
      <c r="M65" s="18" t="n"/>
      <c r="N65" s="18">
        <f>D65*تنظیمات!$B$3*تنظیمات!$B$5+(F65/1000)*تنظیمات!$B$4</f>
        <v/>
      </c>
    </row>
    <row r="66" ht="72" customHeight="1">
      <c r="A66" s="18" t="inlineStr">
        <is>
          <t>IMP-0062</t>
        </is>
      </c>
      <c r="B66" s="18" t="inlineStr">
        <is>
          <t>adidas Breaknet Sleek – یک کتانی ساده، شیک و همیشه قابل استفاده 🤎</t>
        </is>
      </c>
      <c r="C66" s="18" t="inlineStr">
        <is>
          <t>adidas Breaknet Sleek – یک کتانی ساده، شیک و همیشه قابل استفاده 🤎
این مدل یک نسخه مدرن از کتانی‌های کلاسیک آدیداس است؛ طراحی باریک و تمیز آن باعث شده برای استایل روزمره، پیاده‌روی سبک و حتی قرارهای شهری انتخابی شیک باشد.
رویه صاف با جزئیات سوراخ‌دار برای گردش بهتر هوا، همراه با زیره لاستیکی کلاسیک، راحتی مناسبی برای استفاده روزانه فراهم می‌کند. سه خط معروف آدیداس روی کناره‌ها هم همان امضای کلاسیک برند را حفظ کرده است.
✨ چرا خاص است؟
طراحی مینیمال و شیک که هیچ‌وقت از مد نمی‌افتد
رنگ Earth Strata (قهوه‌ای خاکی) متفاوت‌تر از کتانی‌های سفید معمولی است
فرم Sleek و ظریف، مناسب استایل‌های کژوال و شهری
به‌راحتی با جین، شلوار پارچه‌ای و لباس‌های ساده ست می‌شود
یک کتانی برای کسانی که استایل تمیز، ظریف و متفاوت را دوست دارند؛ ساده اما باکلاس. 🤎👟
سایز 7us
49$
موجود تهران</t>
        </is>
      </c>
      <c r="D66" s="18" t="n">
        <v>49</v>
      </c>
      <c r="E66" s="18" t="n"/>
      <c r="F66" s="18" t="n"/>
      <c r="G66" s="18" t="inlineStr">
        <is>
          <t>تهران</t>
        </is>
      </c>
      <c r="H66" s="18" t="inlineStr">
        <is>
          <t>کفش</t>
        </is>
      </c>
      <c r="I66" s="18" t="inlineStr">
        <is>
          <t>export_photo_1231@21-07-2026_22-13-04.jpg</t>
        </is>
      </c>
      <c r="J66" s="18" t="n"/>
      <c r="K66" s="18" t="n"/>
      <c r="L66" s="18" t="n"/>
      <c r="M66" s="18" t="n"/>
      <c r="N66" s="18">
        <f>D66*تنظیمات!$B$3*تنظیمات!$B$5+(F66/1000)*تنظیمات!$B$4</f>
        <v/>
      </c>
    </row>
    <row r="67" ht="72" customHeight="1">
      <c r="A67" s="18" t="inlineStr">
        <is>
          <t>IMP-0063</t>
        </is>
      </c>
      <c r="B67" s="18" t="inlineStr">
        <is>
          <t>مایکل کورس</t>
        </is>
      </c>
      <c r="C67" s="18" t="inlineStr">
        <is>
          <t>مایکل کورس
سایز ۸
۵۹$
موجود تهران</t>
        </is>
      </c>
      <c r="D67" s="18" t="n">
        <v>59</v>
      </c>
      <c r="E67" s="18" t="n"/>
      <c r="F67" s="18" t="n"/>
      <c r="G67" s="18" t="inlineStr">
        <is>
          <t>تهران</t>
        </is>
      </c>
      <c r="H67" s="18" t="inlineStr">
        <is>
          <t>سایر</t>
        </is>
      </c>
      <c r="I67" s="18" t="inlineStr">
        <is>
          <t>export_photo_1234@21-07-2026_22-16-55.jpg</t>
        </is>
      </c>
      <c r="J67" s="18" t="n"/>
      <c r="K67" s="18" t="n"/>
      <c r="L67" s="18" t="n"/>
      <c r="M67" s="18" t="n"/>
      <c r="N67" s="18">
        <f>D67*تنظیمات!$B$3*تنظیمات!$B$5+(F67/1000)*تنظیمات!$B$4</f>
        <v/>
      </c>
    </row>
    <row r="68" ht="72" customHeight="1">
      <c r="A68" s="18" t="inlineStr">
        <is>
          <t>IMP-0064</t>
        </is>
      </c>
      <c r="B68" s="18" t="inlineStr">
        <is>
          <t>Webber Naturals Ashwagandha + Magnesium</t>
        </is>
      </c>
      <c r="C68" s="18" t="inlineStr">
        <is>
          <t>Webber Naturals Ashwagandha + Magnesium
ترکیبی از آشواگاندا Sensoril® و منیزیم بیس‌گلیسینات برای کمک به کاهش استرس، کاهش کورتیزول، افزایش آرامش ذهن، حمایت از عملکرد عضلات و حفظ انرژی بدن.
✨ کمک می‌کند به:
کاهش خستگی و فشارهای روزانه
بهبود تمرکز و آرامش
حمایت از سیستم عصبی و سلامت قلب
کمک به خواب باکیفیت‌تر
200عددی
۲۳.۹۹$
� هر کپسول Webber Naturals Ashwagandha + Magnesium حاوی:
🌿 آشواگاندا Sensoril®: ۶۲٫۵ میلی‌گرم
⚡ منیزیم بیس‌گلیسینات: ۱۰۰ میلی‌گرم
ترکیبی برای کمک به کاهش استرس، حمایت از آرامش سیستم عصبی، عملکرد عضلات و مدیریت سطح کورتیزول
تعداد قرص ۲۰۰ عدد</t>
        </is>
      </c>
      <c r="D68" s="18" t="n">
        <v>23.99</v>
      </c>
      <c r="E68" s="18" t="n"/>
      <c r="F68" s="18" t="n"/>
      <c r="G68" s="18" t="inlineStr">
        <is>
          <t>کانادا</t>
        </is>
      </c>
      <c r="H68" s="18" t="inlineStr">
        <is>
          <t>دارو و سلامتی</t>
        </is>
      </c>
      <c r="I68" s="18" t="inlineStr">
        <is>
          <t>export_photo_1235@23-07-2026_03-14-55.jpg</t>
        </is>
      </c>
      <c r="J68" s="18" t="n"/>
      <c r="K68" s="18" t="n"/>
      <c r="L68" s="18" t="n"/>
      <c r="M68" s="18" t="n"/>
      <c r="N68" s="18">
        <f>D68*تنظیمات!$B$3*تنظیمات!$B$5+(F68/1000)*تنظیمات!$B$4</f>
        <v/>
      </c>
    </row>
    <row r="69" ht="72" customHeight="1">
      <c r="A69" s="18" t="inlineStr">
        <is>
          <t>IMP-0065</t>
        </is>
      </c>
      <c r="B69" s="18" t="inlineStr">
        <is>
          <t>کاپشن زنانه Tommy Hilfiger</t>
        </is>
      </c>
      <c r="C69" s="18" t="inlineStr">
        <is>
          <t>کاپشن زنانه Tommy Hilfiger
این کاپشن جدید تامی هیلفیگر، ترکیبی از استایل کلاسیک و کاربردی است. از پارچه مومی مقاوم در برابر آب تهیه شده و برای روزهای بارانی و هوای خنک انتخابی ایده‌آل به شمار می‌رود. جیب‌های پاکتی، دکمه‌های طلایی براق و طراحی شیک آن، جلوه‌ای خاص و چشم‌نواز به استایل شما می‌بخشند. همچنین کمربند قابل تنظیم به شما امکان می‌دهد لباس را متناسب با فرم اندام خود فیت کنید.
ویژگی‌ها:
پارچه مومی مقاوم در برابر آب
بسته شدن با دکمه‌های طلایی
جیب‌های پاکتی کاربردی
کمربند قابل تنظیم
قد لباس: حدود ۷۲ سانتی‌متر (بر اساس سایز Petite)
یک کاپشن شیک و باکیفیت که به‌راحتی با استایل‌های روزمره و نیمه‌رسمی ست می‌شود و انتخابی عالی برای فصل‌های پاییز و بهار است. 🍂✨
سایز
s
L
xl
از هر سایز یک عدد
با قیمت ۳۴$ موجود هست
orginal price 179$
discount price 34$
you saved 145$😍😍🇨🇦🇨🇦
موجود کانادا</t>
        </is>
      </c>
      <c r="D69" s="18" t="n">
        <v>145</v>
      </c>
      <c r="E69" s="18" t="n"/>
      <c r="F69" s="18" t="n"/>
      <c r="G69" s="18" t="inlineStr">
        <is>
          <t>کانادا</t>
        </is>
      </c>
      <c r="H69" s="18" t="inlineStr">
        <is>
          <t>لباس</t>
        </is>
      </c>
      <c r="I69" s="18" t="inlineStr">
        <is>
          <t>export_photo_1239@23-07-2026_13-03-54.jpg</t>
        </is>
      </c>
      <c r="J69" s="18" t="n"/>
      <c r="K69" s="18" t="n"/>
      <c r="L69" s="18" t="n"/>
      <c r="M69" s="18" t="n"/>
      <c r="N69" s="18">
        <f>D69*تنظیمات!$B$3*تنظیمات!$B$5+(F69/1000)*تنظیمات!$B$4</f>
        <v/>
      </c>
    </row>
    <row r="70" ht="72" customHeight="1">
      <c r="A70" s="18" t="inlineStr">
        <is>
          <t>IMP-0066</t>
        </is>
      </c>
      <c r="B70" s="18" t="inlineStr">
        <is>
          <t>پلیور زنانه</t>
        </is>
      </c>
      <c r="C70" s="18" t="inlineStr">
        <is>
          <t>پلیور  زنانه
از برند guess
سایز مدیوم
29$
🇨🇦ارسال کانادا</t>
        </is>
      </c>
      <c r="D70" s="18" t="n">
        <v>29</v>
      </c>
      <c r="E70" s="18" t="n"/>
      <c r="F70" s="18" t="n"/>
      <c r="G70" s="18" t="inlineStr">
        <is>
          <t>کانادا</t>
        </is>
      </c>
      <c r="H70" s="18" t="inlineStr">
        <is>
          <t>لباس</t>
        </is>
      </c>
      <c r="I70" s="18" t="inlineStr">
        <is>
          <t>export_photo_1242@24-07-2026_17-14-10.jpg</t>
        </is>
      </c>
      <c r="J70" s="18" t="n"/>
      <c r="K70" s="18" t="n"/>
      <c r="L70" s="18" t="n"/>
      <c r="M70" s="18" t="n"/>
      <c r="N70" s="18">
        <f>D70*تنظیمات!$B$3*تنظیمات!$B$5+(F70/1000)*تنظیمات!$B$4</f>
        <v/>
      </c>
    </row>
    <row r="71" ht="72" customHeight="1">
      <c r="A71" s="18" t="inlineStr">
        <is>
          <t>IMP-0067</t>
        </is>
      </c>
      <c r="B71" s="18" t="inlineStr">
        <is>
          <t>پلیور guess</t>
        </is>
      </c>
      <c r="C71" s="18" t="inlineStr">
        <is>
          <t>پلیور guess
سایز ۱۲ سال
۲۰$
🇨🇦ارسال کانادا</t>
        </is>
      </c>
      <c r="D71" s="18" t="n">
        <v>20</v>
      </c>
      <c r="E71" s="18" t="n"/>
      <c r="F71" s="18" t="n"/>
      <c r="G71" s="18" t="inlineStr">
        <is>
          <t>کانادا</t>
        </is>
      </c>
      <c r="H71" s="18" t="inlineStr">
        <is>
          <t>لباس</t>
        </is>
      </c>
      <c r="I71" s="18" t="inlineStr">
        <is>
          <t>export_photo_1249@24-07-2026_17-17-24.jpg</t>
        </is>
      </c>
      <c r="J71" s="18" t="n"/>
      <c r="K71" s="18" t="n"/>
      <c r="L71" s="18" t="n"/>
      <c r="M71" s="18" t="n"/>
      <c r="N71" s="18">
        <f>D71*تنظیمات!$B$3*تنظیمات!$B$5+(F71/1000)*تنظیمات!$B$4</f>
        <v/>
      </c>
    </row>
    <row r="72" ht="72" customHeight="1">
      <c r="A72" s="18" t="inlineStr">
        <is>
          <t>IMP-0068</t>
        </is>
      </c>
      <c r="B72" s="18" t="inlineStr">
        <is>
          <t>زنانه guess</t>
        </is>
      </c>
      <c r="C72" s="18" t="inlineStr">
        <is>
          <t>زنانه guess
رنگ مشکی
یقه پولو
سه دکمه
۲۵$
سایز m
🇨🇦</t>
        </is>
      </c>
      <c r="D72" s="18" t="n">
        <v>25</v>
      </c>
      <c r="E72" s="18" t="n"/>
      <c r="F72" s="18" t="n"/>
      <c r="G72" s="18" t="inlineStr">
        <is>
          <t>کانادا</t>
        </is>
      </c>
      <c r="H72" s="18" t="inlineStr">
        <is>
          <t>سایر</t>
        </is>
      </c>
      <c r="I72" s="18" t="inlineStr">
        <is>
          <t>export_photo_1250@24-07-2026_17-18-54.jpg</t>
        </is>
      </c>
      <c r="J72" s="18" t="n"/>
      <c r="K72" s="18" t="n"/>
      <c r="L72" s="18" t="n"/>
      <c r="M72" s="18" t="n"/>
      <c r="N72" s="18">
        <f>D72*تنظیمات!$B$3*تنظیمات!$B$5+(F72/1000)*تنظیمات!$B$4</f>
        <v/>
      </c>
    </row>
    <row r="73" ht="72" customHeight="1">
      <c r="A73" s="18" t="inlineStr">
        <is>
          <t>IMP-0069</t>
        </is>
      </c>
      <c r="B73" s="18" t="inlineStr">
        <is>
          <t>پارکای سافت‌شل ضدآب با زیپ سرتاسری، مجهز به کلاه از جنس نایلون بادی (Puffer Hood) و آستر گرم از جنس پلار فلیس که راحتی و محافظت در برابر سرما را فراهم می‌کند.</t>
        </is>
      </c>
      <c r="C73" s="18" t="inlineStr">
        <is>
          <t>درباره این محصول
پارکای سافت‌شل ضدآب با زیپ سرتاسری، مجهز به کلاه از جنس نایلون بادی (Puffer Hood) و آستر گرم از جنس پلار فلیس که راحتی و محافظت در برابر سرما را فراهم می‌کند.
درباره برند GUESS
برند GUESS از سال ۱۹۸۱ یکی از برندهای پیشرو در دنیای پوشاک و اکسسوری مدرن است و به‌خاطر طراحی‌های به‌روز و کیفیت ساخت شناخته می‌شود. این برند با ارائه مجموعه‌ای از شلوارهای جین کلاسیک، پوشاک شیک و اکسسوری‌های متنوع برای زنان، مردان و کودکان، استایلی جذاب و ماندگار را برای هر سلیقه‌ای فراهم می‌کند.
m
xl
40$
🇨🇦🇨🇦</t>
        </is>
      </c>
      <c r="D73" s="18" t="n">
        <v>40</v>
      </c>
      <c r="E73" s="18" t="n"/>
      <c r="F73" s="18" t="n"/>
      <c r="G73" s="18" t="inlineStr">
        <is>
          <t>کانادا</t>
        </is>
      </c>
      <c r="H73" s="18" t="inlineStr">
        <is>
          <t>لباس</t>
        </is>
      </c>
      <c r="I73" s="18" t="inlineStr">
        <is>
          <t>export_photo_1255@24-07-2026_17-23-14.jpg</t>
        </is>
      </c>
      <c r="J73" s="18" t="n"/>
      <c r="K73" s="18" t="n"/>
      <c r="L73" s="18" t="n"/>
      <c r="M73" s="18" t="n"/>
      <c r="N73" s="18">
        <f>D73*تنظیمات!$B$3*تنظیمات!$B$5+(F73/1000)*تنظیمات!$B$4</f>
        <v/>
      </c>
    </row>
    <row r="74" ht="72" customHeight="1">
      <c r="A74" s="18" t="inlineStr">
        <is>
          <t>IMP-0070</t>
        </is>
      </c>
      <c r="B74" s="18" t="inlineStr">
        <is>
          <t>size</t>
        </is>
      </c>
      <c r="C74" s="18" t="inlineStr">
        <is>
          <t>size
s
m
40$</t>
        </is>
      </c>
      <c r="D74" s="18" t="n">
        <v>40</v>
      </c>
      <c r="E74" s="18" t="n"/>
      <c r="F74" s="18" t="n"/>
      <c r="G74" s="18" t="inlineStr">
        <is>
          <t>کانادا</t>
        </is>
      </c>
      <c r="H74" s="18" t="inlineStr">
        <is>
          <t>سایر</t>
        </is>
      </c>
      <c r="I74" s="18" t="inlineStr">
        <is>
          <t>export_photo_1258@24-07-2026_17-26-33.jpg</t>
        </is>
      </c>
      <c r="J74" s="18" t="n"/>
      <c r="K74" s="18" t="n"/>
      <c r="L74" s="18" t="n"/>
      <c r="M74" s="18" t="n"/>
      <c r="N74" s="18">
        <f>D74*تنظیمات!$B$3*تنظیمات!$B$5+(F74/1000)*تنظیمات!$B$4</f>
        <v/>
      </c>
    </row>
    <row r="75" ht="72" customHeight="1">
      <c r="A75" s="18" t="inlineStr">
        <is>
          <t>IMP-0071</t>
        </is>
      </c>
      <c r="B75" s="18" t="inlineStr">
        <is>
          <t>طراحی دوخت لوزی (Quilted)</t>
        </is>
      </c>
      <c r="C75" s="18" t="inlineStr">
        <is>
          <t>طراحی دوخت لوزی (Quilted)
بسته شدن با زیپ
لوگوی برند روی لباس
رنگ: سفید
سایز
🇨🇦🇨🇦
قیمت 45$
size L
قد کاپشن ۴۱cm
کارور ۴۹cm
کمر ۴۵cm</t>
        </is>
      </c>
      <c r="D75" s="18" t="n">
        <v>45</v>
      </c>
      <c r="E75" s="18" t="n"/>
      <c r="F75" s="18" t="n"/>
      <c r="G75" s="18" t="inlineStr">
        <is>
          <t>کانادا</t>
        </is>
      </c>
      <c r="H75" s="18" t="inlineStr">
        <is>
          <t>لباس</t>
        </is>
      </c>
      <c r="I75" s="18" t="inlineStr">
        <is>
          <t>export_photo_1259@24-07-2026_17-34-04.jpg</t>
        </is>
      </c>
      <c r="J75" s="18" t="n"/>
      <c r="K75" s="18" t="n"/>
      <c r="L75" s="18" t="n"/>
      <c r="M75" s="18" t="n"/>
      <c r="N75" s="18">
        <f>D75*تنظیمات!$B$3*تنظیمات!$B$5+(F75/1000)*تنظیمات!$B$4</f>
        <v/>
      </c>
    </row>
    <row r="76" ht="72" customHeight="1">
      <c r="A76" s="18" t="inlineStr">
        <is>
          <t>IMP-0072</t>
        </is>
      </c>
      <c r="B76" s="18" t="inlineStr">
        <is>
          <t>کاپشن پافر دخترانه GUESS مدل Penelope</t>
        </is>
      </c>
      <c r="C76" s="18" t="inlineStr">
        <is>
          <t>کاپشن پافر دخترانه GUESS مدل Penelope
این کاپشن پافر با طراحی دوخت لوزی (Quilted)، انتخابی گرم، راحت و شیک برای روزهای سرد است. کلاه قابل جدا شدن و سرآستین‌های کشباف، راحتی و انعطاف بیشتری در استفاده روزمره فراهم می‌کنند. همچنین جیب‌های جلویی کاربردی و لوگوی برجسته GUESS، ظاهر آن را کامل کرده‌اند.
ویژگی‌ها:
مناسب برای دختران
رنگ: مشکی (Jet Black)
طراحی پافر با دوخت لوزی
کلاه قابل جدا شدن
بسته شدن با زیپ جلویی همراه با محافظ لوگودار
سرآستین‌های کشباف برای جلوگیری از نفوذ سرما
جیب‌های جلویی کاربردی
size
10
سال
14
20$
🇨🇦🇨🇦
قد کاپشن
۵۶cm
کارور جلو
۴۶cm
قد استین از سرشانه
۵۴cm</t>
        </is>
      </c>
      <c r="D76" s="18" t="n">
        <v>20</v>
      </c>
      <c r="E76" s="18" t="n"/>
      <c r="F76" s="18" t="n"/>
      <c r="G76" s="18" t="inlineStr">
        <is>
          <t>کانادا</t>
        </is>
      </c>
      <c r="H76" s="18" t="inlineStr">
        <is>
          <t>لباس</t>
        </is>
      </c>
      <c r="I76" s="18" t="inlineStr">
        <is>
          <t>export_photo_1262@24-07-2026_17-36-27.jpg</t>
        </is>
      </c>
      <c r="J76" s="18" t="n"/>
      <c r="K76" s="18" t="n"/>
      <c r="L76" s="18" t="n"/>
      <c r="M76" s="18" t="n"/>
      <c r="N76" s="18">
        <f>D76*تنظیمات!$B$3*تنظیمات!$B$5+(F76/1000)*تنظیمات!$B$4</f>
        <v/>
      </c>
    </row>
    <row r="77" ht="72" customHeight="1">
      <c r="A77" s="18" t="inlineStr">
        <is>
          <t>IMP-0073</t>
        </is>
      </c>
      <c r="B77" s="18" t="inlineStr">
        <is>
          <t>size s</t>
        </is>
      </c>
      <c r="C77" s="18" t="inlineStr">
        <is>
          <t>size s
guess
20$
🇨🇦🇨🇦</t>
        </is>
      </c>
      <c r="D77" s="18" t="n">
        <v>20</v>
      </c>
      <c r="E77" s="18" t="n"/>
      <c r="F77" s="18" t="n"/>
      <c r="G77" s="18" t="inlineStr">
        <is>
          <t>کانادا</t>
        </is>
      </c>
      <c r="H77" s="18" t="inlineStr">
        <is>
          <t>سایر</t>
        </is>
      </c>
      <c r="I77" s="18" t="inlineStr">
        <is>
          <t>export_photo_1265@24-07-2026_17-44-58.jpg</t>
        </is>
      </c>
      <c r="J77" s="18" t="n"/>
      <c r="K77" s="18" t="n"/>
      <c r="L77" s="18" t="n"/>
      <c r="M77" s="18" t="n"/>
      <c r="N77" s="18">
        <f>D77*تنظیمات!$B$3*تنظیمات!$B$5+(F77/1000)*تنظیمات!$B$4</f>
        <v/>
      </c>
    </row>
    <row r="78" ht="72" customHeight="1">
      <c r="A78" s="18" t="inlineStr">
        <is>
          <t>IMP-0074</t>
        </is>
      </c>
      <c r="B78" s="18" t="inlineStr">
        <is>
          <t>guess</t>
        </is>
      </c>
      <c r="C78" s="18" t="inlineStr">
        <is>
          <t>guess
size s
25$
هودی</t>
        </is>
      </c>
      <c r="D78" s="18" t="n">
        <v>25</v>
      </c>
      <c r="E78" s="18" t="n"/>
      <c r="F78" s="18" t="n"/>
      <c r="G78" s="18" t="inlineStr">
        <is>
          <t>کانادا</t>
        </is>
      </c>
      <c r="H78" s="18" t="inlineStr">
        <is>
          <t>سایر</t>
        </is>
      </c>
      <c r="I78" s="18" t="inlineStr">
        <is>
          <t>export_photo_1271@24-07-2026_17-54-40.jpg</t>
        </is>
      </c>
      <c r="J78" s="18" t="n"/>
      <c r="K78" s="18" t="n"/>
      <c r="L78" s="18" t="n"/>
      <c r="M78" s="18" t="n"/>
      <c r="N78" s="18">
        <f>D78*تنظیمات!$B$3*تنظیمات!$B$5+(F78/1000)*تنظیمات!$B$4</f>
        <v/>
      </c>
    </row>
    <row r="79" ht="72" customHeight="1">
      <c r="A79" s="18" t="inlineStr">
        <is>
          <t>IMP-0075</t>
        </is>
      </c>
      <c r="B79" s="18" t="inlineStr">
        <is>
          <t>size s</t>
        </is>
      </c>
      <c r="C79" s="18" t="inlineStr">
        <is>
          <t>size s
guess
23$
🇨🇦🇨🇦</t>
        </is>
      </c>
      <c r="D79" s="18" t="n">
        <v>23</v>
      </c>
      <c r="E79" s="18" t="n"/>
      <c r="F79" s="18" t="n"/>
      <c r="G79" s="18" t="inlineStr">
        <is>
          <t>کانادا</t>
        </is>
      </c>
      <c r="H79" s="18" t="inlineStr">
        <is>
          <t>سایر</t>
        </is>
      </c>
      <c r="I79" s="18" t="inlineStr">
        <is>
          <t>export_photo_1274@24-07-2026_18-54-07.jpg</t>
        </is>
      </c>
      <c r="J79" s="18" t="n"/>
      <c r="K79" s="18" t="n"/>
      <c r="L79" s="18" t="n"/>
      <c r="M79" s="18" t="n"/>
      <c r="N79" s="18">
        <f>D79*تنظیمات!$B$3*تنظیمات!$B$5+(F79/1000)*تنظیمات!$B$4</f>
        <v/>
      </c>
    </row>
    <row r="80" ht="72" customHeight="1">
      <c r="A80" s="18" t="inlineStr">
        <is>
          <t>IMP-0076</t>
        </is>
      </c>
      <c r="B80" s="18" t="inlineStr">
        <is>
          <t>guess</t>
        </is>
      </c>
      <c r="C80" s="18" t="inlineStr">
        <is>
          <t>guess
size s
29$</t>
        </is>
      </c>
      <c r="D80" s="18" t="n">
        <v>29</v>
      </c>
      <c r="E80" s="18" t="n"/>
      <c r="F80" s="18" t="n"/>
      <c r="G80" s="18" t="inlineStr">
        <is>
          <t>کانادا</t>
        </is>
      </c>
      <c r="H80" s="18" t="inlineStr">
        <is>
          <t>سایر</t>
        </is>
      </c>
      <c r="I80" s="18" t="inlineStr">
        <is>
          <t>export_photo_1280@24-07-2026_18-56-40.jpg</t>
        </is>
      </c>
      <c r="J80" s="18" t="n"/>
      <c r="K80" s="18" t="n"/>
      <c r="L80" s="18" t="n"/>
      <c r="M80" s="18" t="n"/>
      <c r="N80" s="18">
        <f>D80*تنظیمات!$B$3*تنظیمات!$B$5+(F80/1000)*تنظیمات!$B$4</f>
        <v/>
      </c>
    </row>
    <row r="81" ht="72" customHeight="1">
      <c r="A81" s="18" t="inlineStr">
        <is>
          <t>IMP-0077</t>
        </is>
      </c>
      <c r="B81" s="18" t="inlineStr">
        <is>
          <t>guess</t>
        </is>
      </c>
      <c r="C81" s="18" t="inlineStr">
        <is>
          <t>guess
xs
19$</t>
        </is>
      </c>
      <c r="D81" s="18" t="n">
        <v>19</v>
      </c>
      <c r="E81" s="18" t="n"/>
      <c r="F81" s="18" t="n"/>
      <c r="G81" s="18" t="inlineStr">
        <is>
          <t>کانادا</t>
        </is>
      </c>
      <c r="H81" s="18" t="inlineStr">
        <is>
          <t>سایر</t>
        </is>
      </c>
      <c r="I81" s="18" t="inlineStr">
        <is>
          <t>export_photo_1288@24-07-2026_19-02-19.jpg</t>
        </is>
      </c>
      <c r="J81" s="18" t="n"/>
      <c r="K81" s="18" t="n"/>
      <c r="L81" s="18" t="n"/>
      <c r="M81" s="18" t="n"/>
      <c r="N81" s="18">
        <f>D81*تنظیمات!$B$3*تنظیمات!$B$5+(F81/1000)*تنظیمات!$B$4</f>
        <v/>
      </c>
    </row>
    <row r="82" ht="72" customHeight="1">
      <c r="A82" s="18" t="inlineStr">
        <is>
          <t>IMP-0078</t>
        </is>
      </c>
      <c r="B82" s="18" t="inlineStr">
        <is>
          <t>guess</t>
        </is>
      </c>
      <c r="C82" s="18" t="inlineStr">
        <is>
          <t>guess
10سال
۱۵$
🇨🇦🇨🇦</t>
        </is>
      </c>
      <c r="D82" s="18" t="n">
        <v>15</v>
      </c>
      <c r="E82" s="18" t="n"/>
      <c r="F82" s="18" t="n"/>
      <c r="G82" s="18" t="inlineStr">
        <is>
          <t>کانادا</t>
        </is>
      </c>
      <c r="H82" s="18" t="inlineStr">
        <is>
          <t>سایر</t>
        </is>
      </c>
      <c r="I82" s="18" t="inlineStr">
        <is>
          <t>export_photo_1289@24-07-2026_19-03-48.jpg</t>
        </is>
      </c>
      <c r="J82" s="18" t="n"/>
      <c r="K82" s="18" t="n"/>
      <c r="L82" s="18" t="n"/>
      <c r="M82" s="18" t="n"/>
      <c r="N82" s="18">
        <f>D82*تنظیمات!$B$3*تنظیمات!$B$5+(F82/1000)*تنظیمات!$B$4</f>
        <v/>
      </c>
    </row>
    <row r="83" ht="72" customHeight="1">
      <c r="A83" s="18" t="inlineStr">
        <is>
          <t>IMP-0079</t>
        </is>
      </c>
      <c r="B83" s="18" t="inlineStr">
        <is>
          <t>guess</t>
        </is>
      </c>
      <c r="C83" s="18" t="inlineStr">
        <is>
          <t>guess
دخترانه
۱۴ سال
۲۳$
نگین دار</t>
        </is>
      </c>
      <c r="D83" s="18" t="n">
        <v>23</v>
      </c>
      <c r="E83" s="18" t="n"/>
      <c r="F83" s="18" t="n"/>
      <c r="G83" s="18" t="inlineStr">
        <is>
          <t>کانادا</t>
        </is>
      </c>
      <c r="H83" s="18" t="inlineStr">
        <is>
          <t>سایر</t>
        </is>
      </c>
      <c r="I83" s="18" t="inlineStr">
        <is>
          <t>export_photo_1292@24-07-2026_19-05-24.jpg</t>
        </is>
      </c>
      <c r="J83" s="18" t="n"/>
      <c r="K83" s="18" t="n"/>
      <c r="L83" s="18" t="n"/>
      <c r="M83" s="18" t="n"/>
      <c r="N83" s="18">
        <f>D83*تنظیمات!$B$3*تنظیمات!$B$5+(F83/1000)*تنظیمات!$B$4</f>
        <v/>
      </c>
    </row>
    <row r="84" ht="72" customHeight="1">
      <c r="A84" s="18" t="inlineStr">
        <is>
          <t>IMP-0080</t>
        </is>
      </c>
      <c r="B84" s="18" t="inlineStr">
        <is>
          <t>size</t>
        </is>
      </c>
      <c r="C84" s="18" t="inlineStr">
        <is>
          <t>size
L
size
s
30$
guess
قیمت قبل تخفیف ۱۶۰$
Marciano</t>
        </is>
      </c>
      <c r="D84" s="18" t="n">
        <v>160</v>
      </c>
      <c r="E84" s="18" t="n"/>
      <c r="F84" s="18" t="n"/>
      <c r="G84" s="18" t="inlineStr">
        <is>
          <t>کانادا</t>
        </is>
      </c>
      <c r="H84" s="18" t="inlineStr">
        <is>
          <t>سایر</t>
        </is>
      </c>
      <c r="I84" s="18" t="inlineStr">
        <is>
          <t>export_photo_1297@24-07-2026_19-08-43.jpg</t>
        </is>
      </c>
      <c r="J84" s="18" t="n"/>
      <c r="K84" s="18" t="n"/>
      <c r="L84" s="18" t="n"/>
      <c r="M84" s="18" t="n"/>
      <c r="N84" s="18">
        <f>D84*تنظیمات!$B$3*تنظیمات!$B$5+(F84/1000)*تنظیمات!$B$4</f>
        <v/>
      </c>
    </row>
    <row r="85" ht="72" customHeight="1">
      <c r="A85" s="18" t="inlineStr">
        <is>
          <t>IMP-0081</t>
        </is>
      </c>
      <c r="B85" s="18" t="inlineStr">
        <is>
          <t>25$</t>
        </is>
      </c>
      <c r="C85" s="18" t="inlineStr">
        <is>
          <t>25$
12سال</t>
        </is>
      </c>
      <c r="D85" s="18" t="n">
        <v>25</v>
      </c>
      <c r="E85" s="18" t="n"/>
      <c r="F85" s="18" t="n"/>
      <c r="G85" s="18" t="inlineStr">
        <is>
          <t>کانادا</t>
        </is>
      </c>
      <c r="H85" s="18" t="inlineStr">
        <is>
          <t>سایر</t>
        </is>
      </c>
      <c r="I85" s="18" t="inlineStr">
        <is>
          <t>export_photo_1301@24-07-2026_19-16-28.jpg</t>
        </is>
      </c>
      <c r="J85" s="18" t="n"/>
      <c r="K85" s="18" t="n"/>
      <c r="L85" s="18" t="n"/>
      <c r="M85" s="18" t="n"/>
      <c r="N85" s="18">
        <f>D85*تنظیمات!$B$3*تنظیمات!$B$5+(F85/1000)*تنظیمات!$B$4</f>
        <v/>
      </c>
    </row>
    <row r="86" ht="72" customHeight="1">
      <c r="A86" s="18" t="inlineStr">
        <is>
          <t>IMP-0082</t>
        </is>
      </c>
      <c r="B86" s="18" t="inlineStr">
        <is>
          <t>تاپ بافتنی زنانه مدل Giada با بافت ظریف پوینتل، آستین‌های کلوش و طراحی دکمه‌ای جلو؛ انتخابی شیک و زنانه برای استایل‌های روزمره و نیمه‌رسمی</t>
        </is>
      </c>
      <c r="C86" s="18" t="inlineStr">
        <is>
          <t>تاپ بافتنی زنانه مدل Giada با بافت ظریف پوینتل، آستین‌های کلوش و طراحی دکمه‌ای جلو؛ انتخابی شیک و زنانه برای استایل‌های روزمره و نیمه‌رسمی
M
L
20$
marciano</t>
        </is>
      </c>
      <c r="D86" s="18" t="n">
        <v>20</v>
      </c>
      <c r="E86" s="18" t="n"/>
      <c r="F86" s="18" t="n"/>
      <c r="G86" s="18" t="inlineStr">
        <is>
          <t>کانادا</t>
        </is>
      </c>
      <c r="H86" s="18" t="inlineStr">
        <is>
          <t>لباس</t>
        </is>
      </c>
      <c r="I86" s="18" t="inlineStr">
        <is>
          <t>export_photo_1312@24-07-2026_19-24-47.jpg</t>
        </is>
      </c>
      <c r="J86" s="18" t="n"/>
      <c r="K86" s="18" t="n"/>
      <c r="L86" s="18" t="n"/>
      <c r="M86" s="18" t="n"/>
      <c r="N86" s="18">
        <f>D86*تنظیمات!$B$3*تنظیمات!$B$5+(F86/1000)*تنظیمات!$B$4</f>
        <v/>
      </c>
    </row>
    <row r="87" ht="72" customHeight="1">
      <c r="A87" s="18" t="inlineStr">
        <is>
          <t>IMP-0083</t>
        </is>
      </c>
      <c r="B87" s="18" t="inlineStr">
        <is>
          <t>کراپ تاپ</t>
        </is>
      </c>
      <c r="C87" s="18" t="inlineStr">
        <is>
          <t>کراپ تاپ
marsiano
guess
15$
M</t>
        </is>
      </c>
      <c r="D87" s="18" t="n">
        <v>15</v>
      </c>
      <c r="E87" s="18" t="n"/>
      <c r="F87" s="18" t="n"/>
      <c r="G87" s="18" t="inlineStr">
        <is>
          <t>کانادا</t>
        </is>
      </c>
      <c r="H87" s="18" t="inlineStr">
        <is>
          <t>لباس</t>
        </is>
      </c>
      <c r="I87" s="18" t="inlineStr">
        <is>
          <t>export_photo_1315@24-07-2026_19-27-02.jpg</t>
        </is>
      </c>
      <c r="J87" s="18" t="n"/>
      <c r="K87" s="18" t="n"/>
      <c r="L87" s="18" t="n"/>
      <c r="M87" s="18" t="n"/>
      <c r="N87" s="18">
        <f>D87*تنظیمات!$B$3*تنظیمات!$B$5+(F87/1000)*تنظیمات!$B$4</f>
        <v/>
      </c>
    </row>
    <row r="88" ht="72" customHeight="1">
      <c r="A88" s="18" t="inlineStr">
        <is>
          <t>IMP-0084</t>
        </is>
      </c>
      <c r="B88" s="18" t="inlineStr">
        <is>
          <t>کوله‌پشتی Sharkhead 🎒</t>
        </is>
      </c>
      <c r="C88" s="18" t="inlineStr">
        <is>
          <t>کوله‌پشتی Sharkhead 🎒
کوله‌ای کاربردی با فضای ۲۴ لیتری برای کار، باشگاه و استفاده روزمره. دارای محفظه اصلی زیپ‌دار، جای لپ‌تاپ، جیب بطری آب و بخش‌های توری برای تهویه لباس‌های ورزشی.
ابعاد: ۴۹ × ۳۸ × ۱۳ سانتی‌متر
23$
وزن ۴۳۰گرم
🇨🇦🇨🇦موجود تهران
جیمشارک</t>
        </is>
      </c>
      <c r="D88" s="18" t="n">
        <v>23</v>
      </c>
      <c r="E88" s="18" t="n"/>
      <c r="F88" s="18" t="n">
        <v>430</v>
      </c>
      <c r="G88" s="18" t="inlineStr">
        <is>
          <t>تهران</t>
        </is>
      </c>
      <c r="H88" s="18" t="inlineStr">
        <is>
          <t>کیف</t>
        </is>
      </c>
      <c r="I88" s="18" t="inlineStr">
        <is>
          <t>export_photo_1320@24-07-2026_19-38-14.jpg</t>
        </is>
      </c>
      <c r="J88" s="18" t="n"/>
      <c r="K88" s="18" t="n"/>
      <c r="L88" s="18" t="n"/>
      <c r="M88" s="18" t="n"/>
      <c r="N88" s="18">
        <f>D88*تنظیمات!$B$3*تنظیمات!$B$5+(F88/1000)*تنظیمات!$B$4</f>
        <v/>
      </c>
    </row>
    <row r="89" ht="72" customHeight="1">
      <c r="A89" s="18" t="inlineStr">
        <is>
          <t>IMP-0085</t>
        </is>
      </c>
      <c r="B89" s="18" t="inlineStr">
        <is>
          <t>تامی</t>
        </is>
      </c>
      <c r="C89" s="18" t="inlineStr">
        <is>
          <t>تامی
سایز لارج
13.99$
🇨🇦🇨🇦</t>
        </is>
      </c>
      <c r="D89" s="18" t="n">
        <v>13.99</v>
      </c>
      <c r="E89" s="18" t="n"/>
      <c r="F89" s="18" t="n"/>
      <c r="G89" s="18" t="inlineStr">
        <is>
          <t>کانادا</t>
        </is>
      </c>
      <c r="H89" s="18" t="inlineStr">
        <is>
          <t>سایر</t>
        </is>
      </c>
      <c r="I89" s="18" t="inlineStr">
        <is>
          <t>export_photo_1324@24-07-2026_23-47-41.jpg</t>
        </is>
      </c>
      <c r="J89" s="18" t="n"/>
      <c r="K89" s="18" t="n"/>
      <c r="L89" s="18" t="n"/>
      <c r="M89" s="18" t="n"/>
      <c r="N89" s="18">
        <f>D89*تنظیمات!$B$3*تنظیمات!$B$5+(F89/1000)*تنظیمات!$B$4</f>
        <v/>
      </c>
    </row>
    <row r="90" ht="72" customHeight="1">
      <c r="A90" s="18" t="inlineStr">
        <is>
          <t>IMP-0086</t>
        </is>
      </c>
      <c r="B90" s="18" t="inlineStr">
        <is>
          <t>guess</t>
        </is>
      </c>
      <c r="C90" s="18" t="inlineStr">
        <is>
          <t>guess
size s
30$
🇨🇦🇨🇦</t>
        </is>
      </c>
      <c r="D90" s="18" t="n">
        <v>30</v>
      </c>
      <c r="E90" s="18" t="n"/>
      <c r="F90" s="18" t="n"/>
      <c r="G90" s="18" t="inlineStr">
        <is>
          <t>کانادا</t>
        </is>
      </c>
      <c r="H90" s="18" t="inlineStr">
        <is>
          <t>سایر</t>
        </is>
      </c>
      <c r="I90" s="18" t="inlineStr">
        <is>
          <t>export_photo_1329@24-07-2026_23-54-31.jpg</t>
        </is>
      </c>
      <c r="J90" s="18" t="n"/>
      <c r="K90" s="18" t="n"/>
      <c r="L90" s="18" t="n"/>
      <c r="M90" s="18" t="n"/>
      <c r="N90" s="18">
        <f>D90*تنظیمات!$B$3*تنظیمات!$B$5+(F90/1000)*تنظیمات!$B$4</f>
        <v/>
      </c>
    </row>
    <row r="91" ht="72" customHeight="1">
      <c r="A91" s="18" t="inlineStr">
        <is>
          <t>IMP-0087</t>
        </is>
      </c>
      <c r="B91" s="18" t="inlineStr">
        <is>
          <t>کاپشن کاربردی کلاه‌دار Dunwich Woven Utility Jacket</t>
        </is>
      </c>
      <c r="C91" s="18" t="inlineStr">
        <is>
          <t>کاپشن کاربردی کلاه‌دار Dunwich Woven Utility Jacket
پارچه بافتی (Woven)
یقه ایستاده
کلاه جداشونده با بند قابل تنظیم
لوگوی برند روی آستین
دارای چندین جیب کاربردی
برش معمولی (Regular Fit)
آستین بلند
بسته شدن با زیپ سرتاسری
قیمت قبل تخفیف
230$
در تخفیف 40$
سایز لارج</t>
        </is>
      </c>
      <c r="D91" s="18" t="n">
        <v>40</v>
      </c>
      <c r="E91" s="18" t="n"/>
      <c r="F91" s="18" t="n"/>
      <c r="G91" s="18" t="inlineStr">
        <is>
          <t>کانادا</t>
        </is>
      </c>
      <c r="H91" s="18" t="inlineStr">
        <is>
          <t>لباس</t>
        </is>
      </c>
      <c r="I91" s="18" t="inlineStr">
        <is>
          <t>export_photo_1333@25-07-2026_00-03-29.jpg</t>
        </is>
      </c>
      <c r="J91" s="18" t="n"/>
      <c r="K91" s="18" t="n"/>
      <c r="L91" s="18" t="n"/>
      <c r="M91" s="18" t="n"/>
      <c r="N91" s="18">
        <f>D91*تنظیمات!$B$3*تنظیمات!$B$5+(F91/1000)*تنظیمات!$B$4</f>
        <v/>
      </c>
    </row>
    <row r="92" ht="72" customHeight="1">
      <c r="A92" s="18" t="inlineStr">
        <is>
          <t>IMP-0088</t>
        </is>
      </c>
      <c r="B92" s="18" t="inlineStr">
        <is>
          <t>size L</t>
        </is>
      </c>
      <c r="C92" s="18" t="inlineStr">
        <is>
          <t>size L
guess
25$</t>
        </is>
      </c>
      <c r="D92" s="18" t="n">
        <v>25</v>
      </c>
      <c r="E92" s="18" t="n"/>
      <c r="F92" s="18" t="n"/>
      <c r="G92" s="18" t="inlineStr">
        <is>
          <t>کانادا</t>
        </is>
      </c>
      <c r="H92" s="18" t="inlineStr">
        <is>
          <t>سایر</t>
        </is>
      </c>
      <c r="I92" s="18" t="inlineStr">
        <is>
          <t>export_photo_1342@25-07-2026_00-08-34.jpg</t>
        </is>
      </c>
      <c r="J92" s="18" t="n"/>
      <c r="K92" s="18" t="n"/>
      <c r="L92" s="18" t="n"/>
      <c r="M92" s="18" t="n"/>
      <c r="N92" s="18">
        <f>D92*تنظیمات!$B$3*تنظیمات!$B$5+(F92/1000)*تنظیمات!$B$4</f>
        <v/>
      </c>
    </row>
    <row r="93" ht="72" customHeight="1">
      <c r="A93" s="18" t="inlineStr">
        <is>
          <t>IMP-0089</t>
        </is>
      </c>
      <c r="B93" s="18" t="inlineStr">
        <is>
          <t>Guess Jeans Rugby Stripe long sleeve polo</t>
        </is>
      </c>
      <c r="C93" s="18" t="inlineStr">
        <is>
          <t>Guess Jeans Rugby Stripe long sleeve polo
size L
25$</t>
        </is>
      </c>
      <c r="D93" s="18" t="n">
        <v>25</v>
      </c>
      <c r="E93" s="18" t="n"/>
      <c r="F93" s="18" t="n"/>
      <c r="G93" s="18" t="inlineStr">
        <is>
          <t>کانادا</t>
        </is>
      </c>
      <c r="H93" s="18" t="inlineStr">
        <is>
          <t>سایر</t>
        </is>
      </c>
      <c r="I93" s="18" t="inlineStr">
        <is>
          <t>export_photo_1346@25-07-2026_00-10-35.jpg</t>
        </is>
      </c>
      <c r="J93" s="18" t="n"/>
      <c r="K93" s="18" t="n"/>
      <c r="L93" s="18" t="n"/>
      <c r="M93" s="18" t="n"/>
      <c r="N93" s="18">
        <f>D93*تنظیمات!$B$3*تنظیمات!$B$5+(F93/1000)*تنظیمات!$B$4</f>
        <v/>
      </c>
    </row>
    <row r="94" ht="72" customHeight="1">
      <c r="A94" s="18" t="inlineStr">
        <is>
          <t>IMP-0090</t>
        </is>
      </c>
      <c r="B94" s="18" t="inlineStr">
        <is>
          <t>calvin klein</t>
        </is>
      </c>
      <c r="C94" s="18" t="inlineStr">
        <is>
          <t>calvin klein
49$
قیمت قبل تخفیف ۲۴۹$</t>
        </is>
      </c>
      <c r="D94" s="18" t="n">
        <v>249</v>
      </c>
      <c r="E94" s="18" t="n"/>
      <c r="F94" s="18" t="n"/>
      <c r="G94" s="18" t="inlineStr">
        <is>
          <t>کانادا</t>
        </is>
      </c>
      <c r="H94" s="18" t="inlineStr">
        <is>
          <t>سایر</t>
        </is>
      </c>
      <c r="I94" s="18" t="inlineStr">
        <is>
          <t>export_photo_1353@25-07-2026_00-17-41.jpg</t>
        </is>
      </c>
      <c r="J94" s="18" t="n"/>
      <c r="K94" s="18" t="n"/>
      <c r="L94" s="18" t="n"/>
      <c r="M94" s="18" t="n"/>
      <c r="N94" s="18">
        <f>D94*تنظیمات!$B$3*تنظیمات!$B$5+(F94/1000)*تنظیمات!$B$4</f>
        <v/>
      </c>
    </row>
    <row r="95" ht="72" customHeight="1">
      <c r="A95" s="18" t="inlineStr">
        <is>
          <t>IMP-0091</t>
        </is>
      </c>
      <c r="B95" s="18" t="inlineStr">
        <is>
          <t>کیف دستی Michael Kors (Tote Bag)</t>
        </is>
      </c>
      <c r="C95" s="18" t="inlineStr">
        <is>
          <t>کیف دستی Michael Kors (Tote Bag)
کیف دستی مایکل کورس با طراحی شیک و جادار، مناسب استفاده روزمره و محل کار. این مدل از کانواس روکش‌دار با طرح لوگوی برند ساخته شده که سبک، بادوام و مقاوم در برابر رطوبت و لک است و با یراق‌آلات طلایی جلوه‌ای لوکس دارد.
مشخصات:
جنس: کانواس روکش‌دار با طرح لوگوی برند
یراق‌آلات طلایی
ابعاد: 29.2 × 27.9 × 15.9 سانتی‌متر
ارتفاع دسته: 21.6 سانتی‌متر
یک محفظه مرکزی و یک جیب داخلی، هر دو زیپ  دار
۱۱۹$
🇨🇦🇨🇦</t>
        </is>
      </c>
      <c r="D95" s="18" t="n">
        <v>119</v>
      </c>
      <c r="E95" s="18" t="n"/>
      <c r="F95" s="18" t="n"/>
      <c r="G95" s="18" t="inlineStr">
        <is>
          <t>کانادا</t>
        </is>
      </c>
      <c r="H95" s="18" t="inlineStr">
        <is>
          <t>کیف</t>
        </is>
      </c>
      <c r="I95" s="18" t="inlineStr">
        <is>
          <t>export_photo_1357@25-07-2026_02-21-21.jpg</t>
        </is>
      </c>
      <c r="J95" s="18" t="n"/>
      <c r="K95" s="18" t="n"/>
      <c r="L95" s="18" t="n"/>
      <c r="M95" s="18" t="n"/>
      <c r="N95" s="18">
        <f>D95*تنظیمات!$B$3*تنظیمات!$B$5+(F95/1000)*تنظیمات!$B$4</f>
        <v/>
      </c>
    </row>
    <row r="96" ht="72" customHeight="1">
      <c r="A96" s="18" t="inlineStr">
        <is>
          <t>IMP-0092</t>
        </is>
      </c>
      <c r="B96" s="18" t="inlineStr">
        <is>
          <t>کیف کراس‌بادی Michael Kors Mercer</t>
        </is>
      </c>
      <c r="C96" s="18" t="inlineStr">
        <is>
          <t>کیف کراس‌بادی Michael Kors Mercer
کیف کراس‌بادی مایکل کورس با طراحی دو رنگ و شیک، از کانواس روکش‌دار با طرح لوگوی برند و چرم طبیعی ساخته شده است. این مدل با دسته‌های کوتاه و بند دوشی قابل تنظیم و جداشونده، برای استفاده روزمره و استایل‌های مختلف انتخابی کاربردی و جذاب است.
مشخصات:
جنس: کانواس روکش‌دار با طرح لوگوی برند و چرم طبیعی
یراق‌آلات طلایی
ابعاد: 22.2 × 19 × 10.2 سانتی‌متر
ارتفاع دسته: 10.8 سانتی‌متر
بند دوشی قابل تنظیم و جداشونده (56.5 تا 62.2 سانتی‌متر)
یک محفظه مرکزی زیپ‌دار
۳ جای کارت
119$
🇨🇦🇨🇦</t>
        </is>
      </c>
      <c r="D96" s="18" t="n">
        <v>119</v>
      </c>
      <c r="E96" s="18" t="n"/>
      <c r="F96" s="18" t="n"/>
      <c r="G96" s="18" t="inlineStr">
        <is>
          <t>کانادا</t>
        </is>
      </c>
      <c r="H96" s="18" t="inlineStr">
        <is>
          <t>کیف</t>
        </is>
      </c>
      <c r="I96" s="18" t="inlineStr">
        <is>
          <t>export_photo_1360@25-07-2026_02-23-09.jpg</t>
        </is>
      </c>
      <c r="J96" s="18" t="n"/>
      <c r="K96" s="18" t="n"/>
      <c r="L96" s="18" t="n"/>
      <c r="M96" s="18" t="n"/>
      <c r="N96" s="18">
        <f>D96*تنظیمات!$B$3*تنظیمات!$B$5+(F96/1000)*تنظیمات!$B$4</f>
        <v/>
      </c>
    </row>
    <row r="97" ht="72" customHeight="1">
      <c r="A97" s="18" t="inlineStr">
        <is>
          <t>IMP-0093</t>
        </is>
      </c>
      <c r="B97" s="18" t="inlineStr">
        <is>
          <t>کیف کمری/اسلینگ Michael Kors</t>
        </is>
      </c>
      <c r="C97" s="18" t="inlineStr">
        <is>
          <t>کیف کمری/اسلینگ Michael Kors
کیف اسلینگ مایکل کورس با طراحی جمع‌وجور و کاربردی، از کانواس روکش‌دار با طرح لوگوی برند ساخته شده است. دارای بند قابل تنظیم، جیب جلویی زیپ‌دار و زنجیر جداشونده برای تنوع در استایل است.
مشخصات:
جنس: کانواس روکش‌دار با طرح لوگوی برند
یراق‌آلات طلایی
ابعاد: 23.5 × 15.2 × 12.7 سانتی‌متر
بند قابل تنظیم: 30.5 تا 54.6 سانتی‌متر
جیب جلویی زیپ‌دار
زنجیر جداشونده
آستر 100٪ پلی‌استر
بسته شدن با زیپ
99$
🇨🇦🇨🇦</t>
        </is>
      </c>
      <c r="D97" s="18" t="n">
        <v>99</v>
      </c>
      <c r="E97" s="18" t="n"/>
      <c r="F97" s="18" t="n"/>
      <c r="G97" s="18" t="inlineStr">
        <is>
          <t>کانادا</t>
        </is>
      </c>
      <c r="H97" s="18" t="inlineStr">
        <is>
          <t>کیف</t>
        </is>
      </c>
      <c r="I97" s="18" t="inlineStr">
        <is>
          <t>export_photo_1361@25-07-2026_02-25-54.jpg</t>
        </is>
      </c>
      <c r="J97" s="18" t="n"/>
      <c r="K97" s="18" t="n"/>
      <c r="L97" s="18" t="n"/>
      <c r="M97" s="18" t="n"/>
      <c r="N97" s="18">
        <f>D97*تنظیمات!$B$3*تنظیمات!$B$5+(F97/1000)*تنظیمات!$B$4</f>
        <v/>
      </c>
    </row>
    <row r="98" ht="72" customHeight="1">
      <c r="A98" s="18" t="inlineStr">
        <is>
          <t>IMP-0094</t>
        </is>
      </c>
      <c r="B98" s="18" t="inlineStr">
        <is>
          <t>کفش guess</t>
        </is>
      </c>
      <c r="C98" s="18" t="inlineStr">
        <is>
          <t>کفش guess
49$
8
❌</t>
        </is>
      </c>
      <c r="D98" s="18" t="n">
        <v>49</v>
      </c>
      <c r="E98" s="18" t="n"/>
      <c r="F98" s="18" t="n"/>
      <c r="G98" s="18" t="inlineStr">
        <is>
          <t>کانادا</t>
        </is>
      </c>
      <c r="H98" s="18" t="inlineStr">
        <is>
          <t>کفش</t>
        </is>
      </c>
      <c r="I98" s="18" t="inlineStr">
        <is>
          <t>export_photo_1365@25-07-2026_10-49-59.jpg</t>
        </is>
      </c>
      <c r="J98" s="18" t="n"/>
      <c r="K98" s="18" t="n"/>
      <c r="L98" s="18" t="n"/>
      <c r="M98" s="18" t="n"/>
      <c r="N98" s="18">
        <f>D98*تنظیمات!$B$3*تنظیمات!$B$5+(F98/1000)*تنظیمات!$B$4</f>
        <v/>
      </c>
    </row>
    <row r="99" ht="72" customHeight="1">
      <c r="A99" s="18" t="inlineStr">
        <is>
          <t>IMP-0095</t>
        </is>
      </c>
      <c r="B99" s="18" t="inlineStr">
        <is>
          <t>Webber Naturals Melatonin + Magnesium Extra Strength (60 عددی)</t>
        </is>
      </c>
      <c r="C99" s="18" t="inlineStr">
        <is>
          <t>Webber Naturals Melatonin + Magnesium Extra Strength (60 عددی)
مکمل ملاتونین + منیزیم وبِر نچرالز با فرمولاسیون قدرت بالا، برای کمک به داشتن خوابی آرام و باکیفیت طراحی شده است. ترکیب ملاتونین با منیزیم به آرامش بدن و عضلات کمک می‌کند و باعث می‌شود راحت‌تر به خواب بروید و خواب عمیق‌تری را تجربه کنید.
ویژگی‌ها:
کمک به بهبود کیفیت خواب و تنظیم چرخه خواب
کاهش زمان به خواب رفتن
کمک به آرامش عضلات و عملکرد طبیعی سیستم عصبی
حاوی منیزیم برای کاهش گرفتگی و تنش عضلانی
فرمول Extra Strength (قدرت بالا
60عددی
۱۲$</t>
        </is>
      </c>
      <c r="D99" s="18" t="n">
        <v>12</v>
      </c>
      <c r="E99" s="18" t="n"/>
      <c r="F99" s="18" t="n"/>
      <c r="G99" s="18" t="inlineStr">
        <is>
          <t>کانادا</t>
        </is>
      </c>
      <c r="H99" s="18" t="inlineStr">
        <is>
          <t>دارو و سلامتی</t>
        </is>
      </c>
      <c r="I99" s="18" t="inlineStr">
        <is>
          <t>export_photo_1370@25-07-2026_17-21-30.jpg</t>
        </is>
      </c>
      <c r="J99" s="18" t="n"/>
      <c r="K99" s="18" t="n"/>
      <c r="L99" s="18" t="n"/>
      <c r="M99" s="18" t="n"/>
      <c r="N99" s="18">
        <f>D99*تنظیمات!$B$3*تنظیمات!$B$5+(F99/1000)*تنظیمات!$B$4</f>
        <v/>
      </c>
    </row>
    <row r="100" ht="72" customHeight="1">
      <c r="A100" s="18" t="inlineStr">
        <is>
          <t>IMP-0096</t>
        </is>
      </c>
      <c r="B100" s="18" t="inlineStr">
        <is>
          <t>Webber Naturals Advanced Collagen + Turmeric 🌿</t>
        </is>
      </c>
      <c r="C100" s="18" t="inlineStr">
        <is>
          <t>Webber Naturals Advanced Collagen + Turmeric 🌿
کمک به کاهش درد و خشکی مفاصل ناشی از آرتروز
کمک به بهبود حرکت و انعطاف مفاصل
دارای UC-II Collagen و Univestin با مطالعات بالینی
حاوی زردچوبه و بروملین برای حمایت از کاهش التهاب
مصرف آسان: روزانه فقط ۱ عدد
شروع اثر گزارش‌شده: حدود ۳ تا ۷ روز
بدون گلوتن، شکر، رنگ و مواد نگهدارنده مصنوعی
مناسب برای افرادی که مشکلات مفصلی، خشکی یا درد زانو و مفاصل دارند. 🌱
22$
30عدد قرص</t>
        </is>
      </c>
      <c r="D100" s="18" t="n">
        <v>22</v>
      </c>
      <c r="E100" s="18" t="n"/>
      <c r="F100" s="18" t="n"/>
      <c r="G100" s="18" t="inlineStr">
        <is>
          <t>کانادا</t>
        </is>
      </c>
      <c r="H100" s="18" t="inlineStr">
        <is>
          <t>دارو و سلامتی</t>
        </is>
      </c>
      <c r="I100" s="18" t="inlineStr">
        <is>
          <t>export_photo_1371@25-07-2026_20-14-23.jpg</t>
        </is>
      </c>
      <c r="J100" s="18" t="n"/>
      <c r="K100" s="18" t="n"/>
      <c r="L100" s="18" t="n"/>
      <c r="M100" s="18" t="n"/>
      <c r="N100" s="18">
        <f>D100*تنظیمات!$B$3*تنظیمات!$B$5+(F100/1000)*تنظیمات!$B$4</f>
        <v/>
      </c>
    </row>
    <row r="101" ht="72" customHeight="1">
      <c r="A101" s="18" t="inlineStr">
        <is>
          <t>IMP-0097</t>
        </is>
      </c>
      <c r="B101" s="18" t="inlineStr">
        <is>
          <t>Webber Naturals Evening Primrose Oil 500 mg – 180 Softgels 🌼</t>
        </is>
      </c>
      <c r="C101" s="18" t="inlineStr">
        <is>
          <t>Webber Naturals Evening Primrose Oil 500 mg – 180 Softgels 🌼
روغن گل مغربی برای حمایت از سلامت بانوان و تأمین اسیدهای چرب ضروری امگا ۶.
ویژگی‌ها:
✅ هر سافت‌ژل حاوی 500 mg روغن گل مغربی
✅ منبع GLA (گاما لینولنیک اسید) و اسیدهای چرب ضروری
✅ کمک به حمایت از تعادل هورمونی، سلامت پوست و علائم مرتبط با تغییرات هورمونی
✅ بسته اقتصادی ۱۸۰ عددی
✅ بدون رنگ و مواد نگهدارنده مصنوعی
مناسب برای خانم‌هایی که به دنبال حمایت طبیعی در دوران PMS، پیش‌یائسگی و سلامت پوست هستند. 🌿
19.99$
180عددی</t>
        </is>
      </c>
      <c r="D101" s="18" t="n">
        <v>19.99</v>
      </c>
      <c r="E101" s="18" t="n"/>
      <c r="F101" s="18" t="n"/>
      <c r="G101" s="18" t="inlineStr">
        <is>
          <t>کانادا</t>
        </is>
      </c>
      <c r="H101" s="18" t="inlineStr">
        <is>
          <t>سایر</t>
        </is>
      </c>
      <c r="I101" s="18" t="inlineStr">
        <is>
          <t>export_photo_1372@25-07-2026_20-18-25.jpg</t>
        </is>
      </c>
      <c r="J101" s="18" t="n"/>
      <c r="K101" s="18" t="n"/>
      <c r="L101" s="18" t="n"/>
      <c r="M101" s="18" t="n"/>
      <c r="N101" s="18">
        <f>D101*تنظیمات!$B$3*تنظیمات!$B$5+(F101/1000)*تنظیمات!$B$4</f>
        <v/>
      </c>
    </row>
    <row r="102" ht="72" customHeight="1">
      <c r="A102" s="18" t="inlineStr">
        <is>
          <t>IMP-0098</t>
        </is>
      </c>
      <c r="B102" s="18" t="inlineStr">
        <is>
          <t>Webber Naturals Menopause Relief with EstroG-100 🌸</t>
        </is>
      </c>
      <c r="C102" s="18" t="inlineStr">
        <is>
          <t>Webber Naturals Menopause Relief with EstroG-100 🌸
مکمل گیاهی برای کمک به کاهش علائم منوپاز و پیش‌یائسگی بدون هورمون.
ویژگی‌ها:
✅ کمک به کاهش گرگرفتگی و تعریق شبانه
✅ کمک به بهبود خواب، خلق‌وخو و علائم جسمی منوپاز
✅ دارای ترکیب گیاهی EstroG-100 با مطالعات بالینی
✅ مصرف آسان: روزی ۱ کپسول
✅ بدون هورمون (Hormone-Free)
✅ مناسب گیاه‌خواران و وگان‌ها
✅ بدون گلوتن، لبنیات، شکر، سویا، رنگ و مواد نگهدارنده مصنوعی
ترکیبات اصلی EstroG-100:
🌿 عصاره ریشه Angelica gigas
🌿 Cynanchum wilfordii
🌿 Phlomis umbrosa
مناسب برای خانم‌هایی که در دوران پیش‌یائسگی یا یائسگی با گرگرفتگی، بی‌خوابی، تغییرات خلقی و خشکی واژن مواجه هستند. 🌷
https://a.co/d/0eVl0wpG
30$
🇨🇦🇨🇦</t>
        </is>
      </c>
      <c r="D102" s="18" t="n">
        <v>30</v>
      </c>
      <c r="E102" s="18" t="n"/>
      <c r="F102" s="18" t="n"/>
      <c r="G102" s="18" t="inlineStr">
        <is>
          <t>کانادا</t>
        </is>
      </c>
      <c r="H102" s="18" t="inlineStr">
        <is>
          <t>دارو و سلامتی</t>
        </is>
      </c>
      <c r="I102" s="18" t="inlineStr">
        <is>
          <t>export_photo_1373@25-07-2026_20-20-53.jpg</t>
        </is>
      </c>
      <c r="J102" s="18" t="n"/>
      <c r="K102" s="18" t="n"/>
      <c r="L102" s="18" t="n"/>
      <c r="M102" s="18" t="n"/>
      <c r="N102" s="18">
        <f>D102*تنظیمات!$B$3*تنظیمات!$B$5+(F102/1000)*تنظیمات!$B$4</f>
        <v/>
      </c>
    </row>
    <row r="103" ht="72" customHeight="1">
      <c r="A103" s="18" t="inlineStr">
        <is>
          <t>IMP-0099</t>
        </is>
      </c>
      <c r="B103" s="18" t="inlineStr">
        <is>
          <t>guess</t>
        </is>
      </c>
      <c r="C103" s="18" t="inlineStr">
        <is>
          <t>guess
سایز
7.5
28$
🇨🇦🇨🇦</t>
        </is>
      </c>
      <c r="D103" s="18" t="n">
        <v>28</v>
      </c>
      <c r="E103" s="18" t="n"/>
      <c r="F103" s="18" t="n"/>
      <c r="G103" s="18" t="inlineStr">
        <is>
          <t>کانادا</t>
        </is>
      </c>
      <c r="H103" s="18" t="inlineStr">
        <is>
          <t>سایر</t>
        </is>
      </c>
      <c r="I103" s="18" t="inlineStr">
        <is>
          <t>export_photo_1374@27-07-2026_09-05-32.jpg</t>
        </is>
      </c>
      <c r="J103" s="18" t="n"/>
      <c r="K103" s="18" t="n"/>
      <c r="L103" s="18" t="n"/>
      <c r="M103" s="18" t="n"/>
      <c r="N103" s="18">
        <f>D103*تنظیمات!$B$3*تنظیمات!$B$5+(F103/1000)*تنظیمات!$B$4</f>
        <v/>
      </c>
    </row>
    <row r="104" ht="72" customHeight="1">
      <c r="A104" s="18" t="inlineStr">
        <is>
          <t>IMP-0100</t>
        </is>
      </c>
      <c r="B104" s="18" t="inlineStr">
        <is>
          <t>کتونی نایک</t>
        </is>
      </c>
      <c r="C104" s="18" t="inlineStr">
        <is>
          <t>کتونی نایک
7,5
79$
@f_ati_a
ارسال سریع
از تهران🇮🇷🇮🇷</t>
        </is>
      </c>
      <c r="D104" s="18" t="n">
        <v>79</v>
      </c>
      <c r="E104" s="18" t="n"/>
      <c r="F104" s="18" t="n"/>
      <c r="G104" s="18" t="inlineStr">
        <is>
          <t>کانادا</t>
        </is>
      </c>
      <c r="H104" s="18" t="inlineStr">
        <is>
          <t>کفش</t>
        </is>
      </c>
      <c r="I104" s="18" t="inlineStr">
        <is>
          <t>export_photo_1375@27-07-2026_11-46-05.jpg</t>
        </is>
      </c>
      <c r="J104" s="18" t="n"/>
      <c r="K104" s="18" t="n"/>
      <c r="L104" s="18" t="n"/>
      <c r="M104" s="18" t="n"/>
      <c r="N104" s="18">
        <f>D104*تنظیمات!$B$3*تنظیمات!$B$5+(F104/1000)*تنظیمات!$B$4</f>
        <v/>
      </c>
    </row>
    <row r="105" ht="72" customHeight="1">
      <c r="A105" s="18" t="inlineStr">
        <is>
          <t>IMP-0101</t>
        </is>
      </c>
      <c r="B105" s="18" t="inlineStr">
        <is>
          <t>کتونی آدیداس</t>
        </is>
      </c>
      <c r="C105" s="18" t="inlineStr">
        <is>
          <t>کتونی آدیداس
8
39$
@f_ati_a
ارسال سریع
تهران🇮🇷🇮🇷</t>
        </is>
      </c>
      <c r="D105" s="18" t="n">
        <v>39</v>
      </c>
      <c r="E105" s="18" t="n"/>
      <c r="F105" s="18" t="n"/>
      <c r="G105" s="18" t="inlineStr">
        <is>
          <t>کانادا</t>
        </is>
      </c>
      <c r="H105" s="18" t="inlineStr">
        <is>
          <t>کفش</t>
        </is>
      </c>
      <c r="I105" s="18" t="inlineStr">
        <is>
          <t>export_photo_1381@27-07-2026_11-53-57.jpg</t>
        </is>
      </c>
      <c r="J105" s="18" t="n"/>
      <c r="K105" s="18" t="n"/>
      <c r="L105" s="18" t="n"/>
      <c r="M105" s="18" t="n"/>
      <c r="N105" s="18">
        <f>D105*تنظیمات!$B$3*تنظیمات!$B$5+(F105/1000)*تنظیمات!$B$4</f>
        <v/>
      </c>
    </row>
    <row r="106" ht="72" customHeight="1">
      <c r="A106" s="18" t="inlineStr">
        <is>
          <t>IMP-0102</t>
        </is>
      </c>
      <c r="B106" s="18" t="inlineStr">
        <is>
          <t>کتونی آدیداس</t>
        </is>
      </c>
      <c r="C106" s="18" t="inlineStr">
        <is>
          <t>کتونی آدیداس
9,5
50$
@f_ati_a
ارسال سریع
تهران🇮🇷🇮🇷</t>
        </is>
      </c>
      <c r="D106" s="18" t="n">
        <v>50</v>
      </c>
      <c r="E106" s="18" t="n"/>
      <c r="F106" s="18" t="n"/>
      <c r="G106" s="18" t="inlineStr">
        <is>
          <t>کانادا</t>
        </is>
      </c>
      <c r="H106" s="18" t="inlineStr">
        <is>
          <t>کفش</t>
        </is>
      </c>
      <c r="I106" s="18" t="inlineStr">
        <is>
          <t>export_photo_1386@27-07-2026_12-02-20.jpg</t>
        </is>
      </c>
      <c r="J106" s="18" t="n"/>
      <c r="K106" s="18" t="n"/>
      <c r="L106" s="18" t="n"/>
      <c r="M106" s="18" t="n"/>
      <c r="N106" s="18">
        <f>D106*تنظیمات!$B$3*تنظیمات!$B$5+(F106/1000)*تنظیمات!$B$4</f>
        <v/>
      </c>
    </row>
    <row r="107" ht="72" customHeight="1">
      <c r="A107" s="18" t="inlineStr">
        <is>
          <t>IMP-0103</t>
        </is>
      </c>
      <c r="B107" s="18" t="inlineStr">
        <is>
          <t>کتونی نایک زنانه</t>
        </is>
      </c>
      <c r="C107" s="18" t="inlineStr">
        <is>
          <t>کتونی نایک زنانه
49$
10
@f_ati_a
ارسال سریع ازتهران
🇮🇷🇮🇷🇮🇷</t>
        </is>
      </c>
      <c r="D107" s="18" t="n">
        <v>49</v>
      </c>
      <c r="E107" s="18" t="n"/>
      <c r="F107" s="18" t="n"/>
      <c r="G107" s="18" t="inlineStr">
        <is>
          <t>کانادا</t>
        </is>
      </c>
      <c r="H107" s="18" t="inlineStr">
        <is>
          <t>کفش</t>
        </is>
      </c>
      <c r="I107" s="18" t="inlineStr">
        <is>
          <t>export_photo_1391@27-07-2026_12-06-53.jpg</t>
        </is>
      </c>
      <c r="J107" s="18" t="n"/>
      <c r="K107" s="18" t="n"/>
      <c r="L107" s="18" t="n"/>
      <c r="M107" s="18" t="n"/>
      <c r="N107" s="18">
        <f>D107*تنظیمات!$B$3*تنظیمات!$B$5+(F107/1000)*تنظیمات!$B$4</f>
        <v/>
      </c>
    </row>
    <row r="108" ht="72" customHeight="1">
      <c r="A108" s="18" t="inlineStr">
        <is>
          <t>IMP-0104</t>
        </is>
      </c>
      <c r="B108" s="18" t="inlineStr">
        <is>
          <t>کتونی نایک مردانه</t>
        </is>
      </c>
      <c r="C108" s="18" t="inlineStr">
        <is>
          <t>کتونی نایک مردانه
11
49$
@f_ati_a
ارسال سریع
از تهران🇮🇷🇮🇷</t>
        </is>
      </c>
      <c r="D108" s="18" t="n">
        <v>49</v>
      </c>
      <c r="E108" s="18" t="n"/>
      <c r="F108" s="18" t="n"/>
      <c r="G108" s="18" t="inlineStr">
        <is>
          <t>کانادا</t>
        </is>
      </c>
      <c r="H108" s="18" t="inlineStr">
        <is>
          <t>کفش</t>
        </is>
      </c>
      <c r="I108" s="18" t="inlineStr">
        <is>
          <t>export_photo_1393@27-07-2026_12-06-53.jpg</t>
        </is>
      </c>
      <c r="J108" s="18" t="n"/>
      <c r="K108" s="18" t="n"/>
      <c r="L108" s="18" t="n"/>
      <c r="M108" s="18" t="n"/>
      <c r="N108" s="18">
        <f>D108*تنظیمات!$B$3*تنظیمات!$B$5+(F108/1000)*تنظیمات!$B$4</f>
        <v/>
      </c>
    </row>
    <row r="109" ht="72" customHeight="1">
      <c r="A109" s="18" t="inlineStr">
        <is>
          <t>IMP-0105</t>
        </is>
      </c>
      <c r="B109" s="18" t="inlineStr">
        <is>
          <t>کیف کراس‌بادی Karl Lagerfeld مدل Maybelle Sharp</t>
        </is>
      </c>
      <c r="C109" s="18" t="inlineStr">
        <is>
          <t>کیف کراس‌بادی Karl Lagerfeld مدل Maybelle Sharp
دیزاین:
طراحی مدرن و مینیمال با استایل شهری
مزین به پچ‌های برجسته Karl Lagerfeld و گربه معروفش Choupette
بند رودوشی لوگودار، قابل تنظیم و جداشدنی
یراق‌آلات باکیفیت
بسته شدن با زیپ
مشخصات:
دو محفظه اصلی زیپ‌دار
یک جیب بیرونی در پشت کیف
دو جیب داخلی
یک جیب مخصوص سکه
آستر ژاکارد 100٪ پلی‌استر
رویه از چرم مصنوعی با بافت چرمی (100٪)
ابعاد: 20.3 × 15.2 × 7.6 سانتی‌متر (عرض × ارتفاع × عمق)
طول بند: 68.5 سانتی‌متر
وزن: حدود 454 گرم
ارسال سریع
از تهران
قیمت
75$
وزن 548گرم
موجود در تهران
یک عدد❌</t>
        </is>
      </c>
      <c r="D109" s="18" t="n">
        <v>75</v>
      </c>
      <c r="E109" s="18" t="n"/>
      <c r="F109" s="18" t="n">
        <v>454</v>
      </c>
      <c r="G109" s="18" t="inlineStr">
        <is>
          <t>کانادا</t>
        </is>
      </c>
      <c r="H109" s="18" t="inlineStr">
        <is>
          <t>کیف</t>
        </is>
      </c>
      <c r="I109" s="18" t="inlineStr">
        <is>
          <t>export_photo_1409@28-07-2026_00-08-12.jpg</t>
        </is>
      </c>
      <c r="J109" s="18" t="n"/>
      <c r="K109" s="18" t="n"/>
      <c r="L109" s="18" t="n"/>
      <c r="M109" s="18" t="n"/>
      <c r="N109" s="18">
        <f>D109*تنظیمات!$B$3*تنظیمات!$B$5+(F109/1000)*تنظیمات!$B$4</f>
        <v/>
      </c>
    </row>
    <row r="110" ht="72" customHeight="1">
      <c r="A110" s="18" t="inlineStr">
        <is>
          <t>IMP-0106</t>
        </is>
      </c>
      <c r="B110" s="18" t="inlineStr">
        <is>
          <t>کیف کراس‌بادی Karl Lagerfeld مدل Maybelle Sharp</t>
        </is>
      </c>
      <c r="C110" s="18" t="inlineStr">
        <is>
          <t>کیف کراس‌بادی Karl Lagerfeld مدل Maybelle Sharp
دیزاین:
طراحی مدرن و مینیمال با استایل شهری
مزین به پچ‌های برجسته Karl Lagerfeld و گربه معروفش Choupette
بند رودوشی لوگودار، قابل تنظیم و جداشدنی
یراق‌آلات باکیفیت
بسته شدن با زیپ
مشخصات:
دو محفظه اصلی زیپ‌دار
یک جیب بیرونی در پشت کیف
دو جیب داخلی
یک جیب مخصوص سکه
آستر ژاکارد 100٪ پلی‌استر
رویه از چرم مصنوعی با بافت چرمی (100٪)
ابعاد: 20.3 × 15.2 × 7.6 سانتی‌متر (عرض × ارتفاع × عمق)
طول بند: 68.5 سانتی‌متر
وزن: حدود 548گرم
59$
موجودی تهران
یک عدد</t>
        </is>
      </c>
      <c r="D110" s="18" t="n">
        <v>59</v>
      </c>
      <c r="E110" s="18" t="n"/>
      <c r="F110" s="18" t="n">
        <v>548</v>
      </c>
      <c r="G110" s="18" t="inlineStr">
        <is>
          <t>کانادا</t>
        </is>
      </c>
      <c r="H110" s="18" t="inlineStr">
        <is>
          <t>کیف</t>
        </is>
      </c>
      <c r="I110" s="18" t="inlineStr">
        <is>
          <t>export_photo_1412@28-07-2026_00-08-21.jpg</t>
        </is>
      </c>
      <c r="J110" s="18" t="n"/>
      <c r="K110" s="18" t="n"/>
      <c r="L110" s="18" t="n"/>
      <c r="M110" s="18" t="n"/>
      <c r="N110" s="18">
        <f>D110*تنظیمات!$B$3*تنظیمات!$B$5+(F110/1000)*تنظیمات!$B$4</f>
        <v/>
      </c>
    </row>
    <row r="111" ht="72" customHeight="1">
      <c r="A111" s="18" t="inlineStr">
        <is>
          <t>IMP-0107</t>
        </is>
      </c>
      <c r="B111" s="18" t="inlineStr">
        <is>
          <t>کیف کراس‌بادی Karl Lagerfeld مدل Maybelle Sharp</t>
        </is>
      </c>
      <c r="C111" s="18" t="inlineStr">
        <is>
          <t>کیف کراس‌بادی Karl Lagerfeld مدل Maybelle Sharp
دیزاین:
طراحی مدرن و مینیمال با استایل شهری
مزین به پچ‌های برجسته Karl Lagerfeld و گربه معروفش Choupette
بند رودوشی لوگودار، قابل تنظیم و جداشدنی
یراق‌آلات باکیفیت
بسته شدن با زیپ
مشخصات:
دو محفظه اصلی زیپ‌دار
یک جیب بیرونی در پشت کیف
دو جیب داخلی
یک جیب مخصوص سکه
آستر ژاکارد 100٪ پلی‌استر
رویه از چرم مصنوعی با بافت چرمی (100٪)
ابعاد: 20.3 × 15.2 × 7.6 سانتی‌متر (عرض × ارتفاع × عمق)
طول بند: 68.5 سانتی‌متر
وزن: حدود 548 گرم
75$
موجودی تهران
یک عدد
❌</t>
        </is>
      </c>
      <c r="D111" s="18" t="n">
        <v>75</v>
      </c>
      <c r="E111" s="18" t="n"/>
      <c r="F111" s="18" t="n">
        <v>548</v>
      </c>
      <c r="G111" s="18" t="inlineStr">
        <is>
          <t>کانادا</t>
        </is>
      </c>
      <c r="H111" s="18" t="inlineStr">
        <is>
          <t>کیف</t>
        </is>
      </c>
      <c r="I111" s="18" t="inlineStr">
        <is>
          <t>export_photo_1415@28-07-2026_00-08-30.jpg</t>
        </is>
      </c>
      <c r="J111" s="18" t="n"/>
      <c r="K111" s="18" t="n"/>
      <c r="L111" s="18" t="n"/>
      <c r="M111" s="18" t="n"/>
      <c r="N111" s="18">
        <f>D111*تنظیمات!$B$3*تنظیمات!$B$5+(F111/1000)*تنظیمات!$B$4</f>
        <v/>
      </c>
    </row>
    <row r="112" ht="72" customHeight="1">
      <c r="A112" s="18" t="inlineStr">
        <is>
          <t>IMP-0108</t>
        </is>
      </c>
      <c r="B112" s="18" t="inlineStr">
        <is>
          <t>Palafer® CF Prenatal | مکمل آهن + ویتامین C + فولیک اسید</t>
        </is>
      </c>
      <c r="C112" s="18" t="inlineStr">
        <is>
          <t>Palafer® CF Prenatal | مکمل آهن + ویتامین C + فولیک اسید
Palafer® CF Prenatal یک مکمل ترکیبی برای پیشگیری و درمان کمبود آهن و فولیک اسید است.
هر کپسول شامل:
100 میلی‌گرم آهن المنتال برای کمک به افزایش هموگلوبین و جبران کمبود آهن
ویتامین C برای جذب بهتر آهن
فولیک اسید برای حمایت از خون‌سازی و تأمین نیاز بدن، به‌خصوص قبل از بارداری و اوایل بارداری
نحوه مصرف: روزانه یک کپسول، ترجیحاً قبل از خواب و با معده خالی یا طبق دستور پزشک.
مناسب برای افرادی که دچار کمبود آهن، فریتین پایین یا نیاز به مکمل آهن و فولیک اسید دارند.
14.99$
جهت سفارش لطفا پیام بدین
🇨🇦
@f_ati_a
❌❌❌</t>
        </is>
      </c>
      <c r="D112" s="18" t="n">
        <v>14.99</v>
      </c>
      <c r="E112" s="18" t="n"/>
      <c r="F112" s="18" t="n"/>
      <c r="G112" s="18" t="inlineStr">
        <is>
          <t>کانادا</t>
        </is>
      </c>
      <c r="H112" s="18" t="inlineStr">
        <is>
          <t>دارو و سلامتی</t>
        </is>
      </c>
      <c r="I112" s="18" t="inlineStr">
        <is>
          <t>export_photo_1423@28-07-2026_17-40-25.jpg</t>
        </is>
      </c>
      <c r="J112" s="18" t="n"/>
      <c r="K112" s="18" t="n"/>
      <c r="L112" s="18" t="n"/>
      <c r="M112" s="18" t="n"/>
      <c r="N112" s="18">
        <f>D112*تنظیمات!$B$3*تنظیمات!$B$5+(F112/1000)*تنظیمات!$B$4</f>
        <v/>
      </c>
    </row>
    <row r="113" ht="72" customHeight="1">
      <c r="A113" s="18" t="inlineStr">
        <is>
          <t>IMP-0109</t>
        </is>
      </c>
      <c r="B113" s="18" t="inlineStr">
        <is>
          <t>Palafer | مکمل آهن برای درمان کمبود آهن</t>
        </is>
      </c>
      <c r="C113" s="18" t="inlineStr">
        <is>
          <t>Palafer | مکمل آهن برای درمان کمبود آهن
Palafer یک مکمل آهن حاوی 100 میلی‌گرم آهن المنتال (Ferrous Fumarate) در هر کپسول است که برای پیشگیری و درمان کمبود آهن، کم‌خونی فقر آهن و افزایش ذخایر آهن بدن (فریتین) استفاده می‌شود.
چرا آهن مهم است؟
آهن برای ساخت هموگلوبین ضروری است؛ پروتئینی در گلبول‌های قرمز که اکسیژن را به تمام بدن منتقل می‌کند. کمبود آهن می‌تواند باعث خستگی، ضعف، ریزش مو، سرگیجه، کاهش تمرکز و کم‌خونی شود.
مزایای Palafer:
✅ کمک به افزایش هموگلوبین و فریتین
✅ بهبود اکسیژن‌رسانی به بدن
✅ کاهش علائم کمبود آهن مانند خستگی و ضعف
✅ مصرف آسان؛ روزانه یک کپسول
نحوه مصرف:
روزانه یک کپسول، ترجیحاً قبل از خواب و با معده خالی یا طبق دستور پزشک.
برای جذب بهتر:
همراه آب یا ویتامین C مصرف شود و تا ۲ ساعت اطراف مصرف، چای، قهوه، لبنیات، کلسیم و منیزیم مصرف نشود.
ترکیبات هر کپسول:
300 میلی‌گرم Ferrous Fumarate
معادل 100 میلی‌گرم آهن المنتال
12$
@f_ati_a</t>
        </is>
      </c>
      <c r="D113" s="18" t="n">
        <v>12</v>
      </c>
      <c r="E113" s="18" t="n"/>
      <c r="F113" s="18" t="n"/>
      <c r="G113" s="18" t="inlineStr">
        <is>
          <t>کانادا</t>
        </is>
      </c>
      <c r="H113" s="18" t="inlineStr">
        <is>
          <t>دارو و سلامتی</t>
        </is>
      </c>
      <c r="I113" s="18" t="inlineStr">
        <is>
          <t>export_photo_1424@28-07-2026_17-43-32.jpg</t>
        </is>
      </c>
      <c r="J113" s="18" t="n"/>
      <c r="K113" s="18" t="n"/>
      <c r="L113" s="18" t="n"/>
      <c r="M113" s="18" t="n"/>
      <c r="N113" s="18">
        <f>D113*تنظیمات!$B$3*تنظیمات!$B$5+(F113/1000)*تنظیمات!$B$4</f>
        <v/>
      </c>
    </row>
    <row r="114" ht="72" customHeight="1">
      <c r="A114" s="18" t="inlineStr">
        <is>
          <t>IMP-0110</t>
        </is>
      </c>
      <c r="B114" s="18" t="inlineStr">
        <is>
          <t>تیشرت زنانه کارل</t>
        </is>
      </c>
      <c r="C114" s="18" t="inlineStr">
        <is>
          <t>تیشرت زنانه کارل
S
m
29$
@f_ati_a</t>
        </is>
      </c>
      <c r="D114" s="18" t="n">
        <v>29</v>
      </c>
      <c r="E114" s="18" t="n"/>
      <c r="F114" s="18" t="n"/>
      <c r="G114" s="18" t="inlineStr">
        <is>
          <t>کانادا</t>
        </is>
      </c>
      <c r="H114" s="18" t="inlineStr">
        <is>
          <t>لباس</t>
        </is>
      </c>
      <c r="I114" s="18" t="inlineStr">
        <is>
          <t>export_photo_1427@01-08-2026_10-40-14.jpg</t>
        </is>
      </c>
      <c r="J114" s="18" t="n"/>
      <c r="K114" s="18" t="n"/>
      <c r="L114" s="18" t="n"/>
      <c r="M114" s="18" t="n"/>
      <c r="N114" s="18">
        <f>D114*تنظیمات!$B$3*تنظیمات!$B$5+(F114/1000)*تنظیمات!$B$4</f>
        <v/>
      </c>
    </row>
    <row r="115" ht="72" customHeight="1">
      <c r="A115" s="18" t="inlineStr">
        <is>
          <t>IMP-0111</t>
        </is>
      </c>
      <c r="B115" s="18" t="inlineStr">
        <is>
          <t>تیشرت های زنانه guess</t>
        </is>
      </c>
      <c r="C115" s="18" t="inlineStr">
        <is>
          <t>تیشرت های زنانه guess
در دو رنگ
سفید
صورتی
m
20$
@f_ati_a</t>
        </is>
      </c>
      <c r="D115" s="18" t="n">
        <v>20</v>
      </c>
      <c r="E115" s="18" t="n"/>
      <c r="F115" s="18" t="n"/>
      <c r="G115" s="18" t="inlineStr">
        <is>
          <t>کانادا</t>
        </is>
      </c>
      <c r="H115" s="18" t="inlineStr">
        <is>
          <t>لباس</t>
        </is>
      </c>
      <c r="I115" s="18" t="inlineStr">
        <is>
          <t>export_photo_1436@02-08-2026_11-56-12.jpg</t>
        </is>
      </c>
      <c r="J115" s="18" t="n"/>
      <c r="K115" s="18" t="n"/>
      <c r="L115" s="18" t="n"/>
      <c r="M115" s="18" t="n"/>
      <c r="N115" s="18">
        <f>D115*تنظیمات!$B$3*تنظیمات!$B$5+(F115/1000)*تنظیمات!$B$4</f>
        <v/>
      </c>
    </row>
    <row r="116" ht="72" customHeight="1">
      <c r="A116" s="18" t="inlineStr">
        <is>
          <t>IMP-0112</t>
        </is>
      </c>
      <c r="B116" s="18" t="inlineStr">
        <is>
          <t>تیشرت مردانه guess jeans</t>
        </is>
      </c>
      <c r="C116" s="18" t="inlineStr">
        <is>
          <t>تیشرت مردانه guess jeans
m
54cm
L
56cm
25$
@f_ati_a</t>
        </is>
      </c>
      <c r="D116" s="18" t="n">
        <v>25</v>
      </c>
      <c r="E116" s="18" t="n"/>
      <c r="F116" s="18" t="n"/>
      <c r="G116" s="18" t="inlineStr">
        <is>
          <t>کانادا</t>
        </is>
      </c>
      <c r="H116" s="18" t="inlineStr">
        <is>
          <t>لباس</t>
        </is>
      </c>
      <c r="I116" s="18" t="inlineStr">
        <is>
          <t>export_photo_1438@02-08-2026_12-05-04.jpg</t>
        </is>
      </c>
      <c r="J116" s="18" t="n"/>
      <c r="K116" s="18" t="n"/>
      <c r="L116" s="18" t="n"/>
      <c r="M116" s="18" t="n"/>
      <c r="N116" s="18">
        <f>D116*تنظیمات!$B$3*تنظیمات!$B$5+(F116/1000)*تنظیمات!$B$4</f>
        <v/>
      </c>
    </row>
    <row r="117" ht="72" customHeight="1">
      <c r="A117" s="18" t="inlineStr">
        <is>
          <t>IMP-0113</t>
        </is>
      </c>
      <c r="B117" s="18" t="inlineStr">
        <is>
          <t>15$</t>
        </is>
      </c>
      <c r="C117" s="18" t="inlineStr">
        <is>
          <t>15$
ادویل
ایبو‌بروفن ۴۰۰
۷۵عددی
١٠٠gr
۱۰/۲۰۲۸
موجود ایران
۴عدد</t>
        </is>
      </c>
      <c r="D117" s="18" t="n">
        <v>15</v>
      </c>
      <c r="E117" s="18" t="n"/>
      <c r="F117" s="18" t="n">
        <v>100</v>
      </c>
      <c r="G117" s="18" t="inlineStr">
        <is>
          <t>کانادا</t>
        </is>
      </c>
      <c r="H117" s="18" t="inlineStr">
        <is>
          <t>سایر</t>
        </is>
      </c>
      <c r="I117" s="18" t="inlineStr">
        <is>
          <t>export_photo_1442@05-08-2026_17-21-07.jpg</t>
        </is>
      </c>
      <c r="J117" s="18" t="n"/>
      <c r="K117" s="18" t="n"/>
      <c r="L117" s="18" t="n"/>
      <c r="M117" s="18" t="n"/>
      <c r="N117" s="18">
        <f>D117*تنظیمات!$B$3*تنظیمات!$B$5+(F117/1000)*تنظیمات!$B$4</f>
        <v/>
      </c>
    </row>
    <row r="118" ht="72" customHeight="1">
      <c r="A118" s="18" t="inlineStr">
        <is>
          <t>IMP-0114</t>
        </is>
      </c>
      <c r="B118" s="18" t="inlineStr">
        <is>
          <t>ادویل</t>
        </is>
      </c>
      <c r="C118" s="18" t="inlineStr">
        <is>
          <t>ادویل
ایبوبروفن ۲۰۰
109عددی
15$
موجود ایران
۱۱۵گرم
انقضا
۰۳/۲۰۲۸
7عدد</t>
        </is>
      </c>
      <c r="D118" s="18" t="n">
        <v>15</v>
      </c>
      <c r="E118" s="18" t="n"/>
      <c r="F118" s="18" t="n">
        <v>115</v>
      </c>
      <c r="G118" s="18" t="inlineStr">
        <is>
          <t>کانادا</t>
        </is>
      </c>
      <c r="H118" s="18" t="inlineStr">
        <is>
          <t>سایر</t>
        </is>
      </c>
      <c r="I118" s="18" t="inlineStr">
        <is>
          <t>export_photo_1443@05-08-2026_17-34-49.jpg</t>
        </is>
      </c>
      <c r="J118" s="18" t="n"/>
      <c r="K118" s="18" t="n"/>
      <c r="L118" s="18" t="n"/>
      <c r="M118" s="18" t="n"/>
      <c r="N118" s="18">
        <f>D118*تنظیمات!$B$3*تنظیمات!$B$5+(F118/1000)*تنظیمات!$B$4</f>
        <v/>
      </c>
    </row>
    <row r="119" ht="72" customHeight="1">
      <c r="A119" s="18" t="inlineStr">
        <is>
          <t>IMP-0115</t>
        </is>
      </c>
      <c r="B119" s="18" t="inlineStr">
        <is>
          <t>قرص سنتروم</t>
        </is>
      </c>
      <c r="C119" s="18" t="inlineStr">
        <is>
          <t>قرص سنتروم
مولتی ویتامین
زنانه زیر ۵۰ سال
33$
۴۶۷گرم
انقضا ۰۴/۲۰۲۷
۳عدد</t>
        </is>
      </c>
      <c r="D119" s="18" t="n">
        <v>33</v>
      </c>
      <c r="E119" s="18" t="n"/>
      <c r="F119" s="18" t="n">
        <v>467</v>
      </c>
      <c r="G119" s="18" t="inlineStr">
        <is>
          <t>کانادا</t>
        </is>
      </c>
      <c r="H119" s="18" t="inlineStr">
        <is>
          <t>دارو و سلامتی</t>
        </is>
      </c>
      <c r="I119" s="18" t="inlineStr">
        <is>
          <t>export_photo_1444@05-08-2026_17-40-28.jpg</t>
        </is>
      </c>
      <c r="J119" s="18" t="n"/>
      <c r="K119" s="18" t="n"/>
      <c r="L119" s="18" t="n"/>
      <c r="M119" s="18" t="n"/>
      <c r="N119" s="18">
        <f>D119*تنظیمات!$B$3*تنظیمات!$B$5+(F119/1000)*تنظیمات!$B$4</f>
        <v/>
      </c>
    </row>
    <row r="120" ht="72" customHeight="1">
      <c r="A120" s="18" t="inlineStr">
        <is>
          <t>IMP-0116</t>
        </is>
      </c>
      <c r="B120" s="18" t="inlineStr">
        <is>
          <t>قرص</t>
        </is>
      </c>
      <c r="C120" s="18" t="inlineStr">
        <is>
          <t>#قرص
قرص سنتروم مردانه زیر ۵۰ سال
33$
۴۳۸gr
انقضا ۱۱/۲۰۲۷❌❌❌</t>
        </is>
      </c>
      <c r="D120" s="18" t="n">
        <v>33</v>
      </c>
      <c r="E120" s="18" t="n"/>
      <c r="F120" s="18" t="n">
        <v>438</v>
      </c>
      <c r="G120" s="18" t="inlineStr">
        <is>
          <t>کانادا</t>
        </is>
      </c>
      <c r="H120" s="18" t="inlineStr">
        <is>
          <t>دارو و سلامتی</t>
        </is>
      </c>
      <c r="I120" s="18" t="inlineStr">
        <is>
          <t>export_photo_1445@05-08-2026_17-48-21.jpg</t>
        </is>
      </c>
      <c r="J120" s="18" t="n"/>
      <c r="K120" s="18" t="n"/>
      <c r="L120" s="18" t="n"/>
      <c r="M120" s="18" t="n"/>
      <c r="N120" s="18">
        <f>D120*تنظیمات!$B$3*تنظیمات!$B$5+(F120/1000)*تنظیمات!$B$4</f>
        <v/>
      </c>
    </row>
    <row r="121" ht="72" customHeight="1">
      <c r="A121" s="18" t="inlineStr">
        <is>
          <t>IMP-0117</t>
        </is>
      </c>
      <c r="B121" s="18" t="inlineStr">
        <is>
          <t>سنتروم زنانه +50</t>
        </is>
      </c>
      <c r="C121" s="18" t="inlineStr">
        <is>
          <t>سنتروم زنانه +50
33$
۴۳۲گرم
انقضا  ۱۰/۲۰۲۷</t>
        </is>
      </c>
      <c r="D121" s="18" t="n">
        <v>33</v>
      </c>
      <c r="E121" s="18" t="n"/>
      <c r="F121" s="18" t="n">
        <v>432</v>
      </c>
      <c r="G121" s="18" t="inlineStr">
        <is>
          <t>کانادا</t>
        </is>
      </c>
      <c r="H121" s="18" t="inlineStr">
        <is>
          <t>سایر</t>
        </is>
      </c>
      <c r="I121" s="18" t="inlineStr">
        <is>
          <t>export_photo_1446@05-08-2026_17-50-34.jpg</t>
        </is>
      </c>
      <c r="J121" s="18" t="n"/>
      <c r="K121" s="18" t="n"/>
      <c r="L121" s="18" t="n"/>
      <c r="M121" s="18" t="n"/>
      <c r="N121" s="18">
        <f>D121*تنظیمات!$B$3*تنظیمات!$B$5+(F121/1000)*تنظیمات!$B$4</f>
        <v/>
      </c>
    </row>
    <row r="122" ht="72" customHeight="1">
      <c r="A122" s="18" t="inlineStr">
        <is>
          <t>IMP-0118</t>
        </is>
      </c>
      <c r="B122" s="18" t="inlineStr">
        <is>
          <t>قرص پرو بیوتیک کیرکلند</t>
        </is>
      </c>
      <c r="C122" s="18" t="inlineStr">
        <is>
          <t>قرص پرو بیوتیک کیرکلند
‏Kirkland Signature Daily Probiotic 30 Billion برای کمک به سلامت دستگاه گوارش و کمک به بهبود درد شکمی مرتبط با IBS فرموله شده است. هر سروینگ کپسول حاوی یک کمپلکس پروبیوتیک انحصاری با فیبر پری بیوتیک است که 30 میلیارد سلول فعال را فراهم می کند که انقضا تضمین شده است.
ویژگی ها و مزایا:
30 میلیارد سلول فعال در هر کپسول
منبع پروبیوتیک ها
به بهبود دردهای شکمی مرتبط با IBS کمک می کند
به حمایت از سلامت دستگاه گوارش کمک می کند
به بهبود کیفیت زندگی مرتبط با علائم IBS کمک می کند
به کاهش نفخ مرتبط با IBS کمک می کند
کپسول های تاخیری
گیاهخواری
بدون GMOs
بدون لاکتوز، سویا یا گلوتن
بدون رنگ های مصنوعی، طعم دهنده های مصنوعی یا مواد نگهدارنده مصنوعی
قیمت در حراجی الیکا شاپ : 32,99$
100gr
انقضا۱۰/۲۰۲۷</t>
        </is>
      </c>
      <c r="D122" s="18" t="n">
        <v>32.99</v>
      </c>
      <c r="E122" s="18" t="n"/>
      <c r="F122" s="18" t="n">
        <v>100</v>
      </c>
      <c r="G122" s="18" t="inlineStr">
        <is>
          <t>کانادا</t>
        </is>
      </c>
      <c r="H122" s="18" t="inlineStr">
        <is>
          <t>دارو و سلامتی</t>
        </is>
      </c>
      <c r="I122" s="18" t="inlineStr">
        <is>
          <t>export_photo_1447@05-08-2026_17-55-57.jpg</t>
        </is>
      </c>
      <c r="J122" s="18" t="n"/>
      <c r="K122" s="18" t="n"/>
      <c r="L122" s="18" t="n"/>
      <c r="M122" s="18" t="n"/>
      <c r="N122" s="18">
        <f>D122*تنظیمات!$B$3*تنظیمات!$B$5+(F122/1000)*تنظیمات!$B$4</f>
        <v/>
      </c>
    </row>
    <row r="123" ht="72" customHeight="1">
      <c r="A123" s="18" t="inlineStr">
        <is>
          <t>IMP-0119</t>
        </is>
      </c>
      <c r="B123" s="18" t="inlineStr">
        <is>
          <t>عطر bleu de channel</t>
        </is>
      </c>
      <c r="C123" s="18" t="inlineStr">
        <is>
          <t>جعبه اصلی</t>
        </is>
      </c>
      <c r="D123" s="18" t="n">
        <v>160</v>
      </c>
      <c r="E123" s="18" t="inlineStr">
        <is>
          <t>100میل</t>
        </is>
      </c>
      <c r="F123" s="18" t="n">
        <v>415</v>
      </c>
      <c r="G123" s="18" t="inlineStr">
        <is>
          <t>تهران</t>
        </is>
      </c>
      <c r="H123" s="18" t="inlineStr">
        <is>
          <t>عطر و ادکلن</t>
        </is>
      </c>
      <c r="I123" s="18" t="inlineStr">
        <is>
          <t>عطر_bleu_de_channel_1787585769124_1.jpg</t>
        </is>
      </c>
      <c r="J123" s="18" t="inlineStr">
        <is>
          <t>عطر_bleu_de_channel_1787585770185_2.jpg</t>
        </is>
      </c>
      <c r="K123" s="18" t="n"/>
      <c r="L123" s="18" t="n"/>
      <c r="M123" s="18" t="n"/>
      <c r="N123" s="18">
        <f>D123*تنظیمات!$B$3*تنظیمات!$B$5+(F123/1000)*تنظیمات!$B$4</f>
        <v/>
      </c>
    </row>
    <row r="124" ht="72" customHeight="1">
      <c r="A124" s="18" t="inlineStr">
        <is>
          <t>IMP-0120</t>
        </is>
      </c>
      <c r="B124" s="18" t="inlineStr">
        <is>
          <t>عطر استخراج‌شده</t>
        </is>
      </c>
      <c r="C124" s="18" t="inlineStr">
        <is>
          <t>6ml
12$</t>
        </is>
      </c>
      <c r="D124" s="18" t="n">
        <v>12</v>
      </c>
      <c r="E124" s="18" t="inlineStr">
        <is>
          <t>6ml</t>
        </is>
      </c>
      <c r="F124" s="18" t="n"/>
      <c r="G124" s="18" t="inlineStr">
        <is>
          <t>کانادا</t>
        </is>
      </c>
      <c r="H124" s="18" t="inlineStr">
        <is>
          <t>عطر و ادکلن</t>
        </is>
      </c>
      <c r="I124" s="18" t="inlineStr">
        <is>
          <t>photo_1796@16-04-2026_20-32-14.jpg</t>
        </is>
      </c>
      <c r="J124" s="18" t="n"/>
      <c r="K124" s="18" t="n"/>
      <c r="L124" s="18" t="n"/>
      <c r="M124" s="18" t="n"/>
      <c r="N124" s="18">
        <f>D124*تنظیمات!$B$3*تنظیمات!$B$5+(F124/1000)*تنظیمات!$B$4</f>
        <v/>
      </c>
    </row>
    <row r="125" ht="72" customHeight="1">
      <c r="A125" s="18" t="inlineStr">
        <is>
          <t>IMP-0121</t>
        </is>
      </c>
      <c r="B125" s="18" t="inlineStr">
        <is>
          <t>عطر استخراج‌شده</t>
        </is>
      </c>
      <c r="C125" s="18" t="inlineStr">
        <is>
          <t>7.5ml
18$</t>
        </is>
      </c>
      <c r="D125" s="18" t="n">
        <v>18</v>
      </c>
      <c r="E125" s="18" t="inlineStr">
        <is>
          <t>7.5ml</t>
        </is>
      </c>
      <c r="F125" s="18" t="n"/>
      <c r="G125" s="18" t="inlineStr">
        <is>
          <t>کانادا</t>
        </is>
      </c>
      <c r="H125" s="18" t="inlineStr">
        <is>
          <t>عطر و ادکلن</t>
        </is>
      </c>
      <c r="I125" s="18" t="inlineStr">
        <is>
          <t>photo_1797@16-04-2026_20-32-21.jpg</t>
        </is>
      </c>
      <c r="J125" s="18" t="n"/>
      <c r="K125" s="18" t="n"/>
      <c r="L125" s="18" t="n"/>
      <c r="M125" s="18" t="n"/>
      <c r="N125" s="18">
        <f>D125*تنظیمات!$B$3*تنظیمات!$B$5+(F125/1000)*تنظیمات!$B$4</f>
        <v/>
      </c>
    </row>
    <row r="126" ht="72" customHeight="1">
      <c r="A126" s="18" t="inlineStr">
        <is>
          <t>IMP-0122</t>
        </is>
      </c>
      <c r="B126" s="18" t="inlineStr">
        <is>
          <t>Libre</t>
        </is>
      </c>
      <c r="C126" s="18" t="inlineStr">
        <is>
          <t>Libre
7.5ml
18$</t>
        </is>
      </c>
      <c r="D126" s="18" t="n">
        <v>18</v>
      </c>
      <c r="E126" s="18" t="inlineStr">
        <is>
          <t>7.5ml</t>
        </is>
      </c>
      <c r="F126" s="18" t="n"/>
      <c r="G126" s="18" t="inlineStr">
        <is>
          <t>کانادا</t>
        </is>
      </c>
      <c r="H126" s="18" t="inlineStr">
        <is>
          <t>عطر و ادکلن</t>
        </is>
      </c>
      <c r="I126" s="18" t="inlineStr">
        <is>
          <t>photo_1798@16-04-2026_20-32-26.jpg</t>
        </is>
      </c>
      <c r="J126" s="18" t="n"/>
      <c r="K126" s="18" t="n"/>
      <c r="L126" s="18" t="n"/>
      <c r="M126" s="18" t="n"/>
      <c r="N126" s="18">
        <f>D126*تنظیمات!$B$3*تنظیمات!$B$5+(F126/1000)*تنظیمات!$B$4</f>
        <v/>
      </c>
    </row>
    <row r="127" ht="72" customHeight="1">
      <c r="A127" s="18" t="inlineStr">
        <is>
          <t>IMP-0123</t>
        </is>
      </c>
      <c r="B127" s="18" t="inlineStr">
        <is>
          <t>عطر استخراج‌شده</t>
        </is>
      </c>
      <c r="C127" s="18" t="inlineStr">
        <is>
          <t>7.5ml
10$</t>
        </is>
      </c>
      <c r="D127" s="18" t="n">
        <v>10</v>
      </c>
      <c r="E127" s="18" t="inlineStr">
        <is>
          <t>7.5ml</t>
        </is>
      </c>
      <c r="F127" s="18" t="n"/>
      <c r="G127" s="18" t="inlineStr">
        <is>
          <t>کانادا</t>
        </is>
      </c>
      <c r="H127" s="18" t="inlineStr">
        <is>
          <t>عطر و ادکلن</t>
        </is>
      </c>
      <c r="I127" s="18" t="inlineStr">
        <is>
          <t>photo_1799@16-04-2026_20-32-33.jpg</t>
        </is>
      </c>
      <c r="J127" s="18" t="n"/>
      <c r="K127" s="18" t="n"/>
      <c r="L127" s="18" t="n"/>
      <c r="M127" s="18" t="n"/>
      <c r="N127" s="18">
        <f>D127*تنظیمات!$B$3*تنظیمات!$B$5+(F127/1000)*تنظیمات!$B$4</f>
        <v/>
      </c>
    </row>
    <row r="128" ht="72" customHeight="1">
      <c r="A128" s="18" t="inlineStr">
        <is>
          <t>IMP-0124</t>
        </is>
      </c>
      <c r="B128" s="18" t="inlineStr">
        <is>
          <t>Jean Paul gaultier le male</t>
        </is>
      </c>
      <c r="C128" s="18" t="inlineStr">
        <is>
          <t>Jean Paul gaultier le male
🔸️نوع:مردانه
🔸️تولید از سال‌:2023
🔸️سبک:شرقی - فوژه
🌸ترکیب نت‌ها:
🔸 نت‌های ابتدایی: اسطوخودوس ، نعناع
🔸 نت‌های میانی: لوبان ، وانیل
🔸 نت‌های پایه:
دانه تونکا ، عسل ، تنباکو
📝توضیحات:
این عطر غلیظ که روی پوست صاف این نیم‌تنه پخش می‌شود، تمامی حس‌های شما را شعله‌ور می‌سازد و جلوه‌های هوس‌انگیز سوزانی را به‌وجود می‌آورد. پس از نت شاداب نعناع، گسترش آمیزه این عطر ذره‌ذره شما را به خودش وابسته می‌کند تا سرانجام به یک اکسیر غلیظ تبدیل می‌شود. بعد از نت‌های باطراوت، رایحه بی‌نظیر اسطوخودوس سریعا با جلوه‌های هوس‌انگیزش نمایان می‌شود که البته به‌واسطه سرشاری و غنای برگرفته از لوبان، روایح شربتی و نت‌های وانیل تقویت خواهد شد. دانه تونکا نیز آمیزه کلی عطر را به‌واسطه جلوه‌های پرحرارت اما ملایمش غنی‌تر می‌سازد و مابین نت‌های تنباکو و عسل قرار می‌گیرد. به این مرحله که برسید، تمام وجودتان با این عطر درگیر می‌شود!
100$</t>
        </is>
      </c>
      <c r="D128" s="18" t="n">
        <v>100</v>
      </c>
      <c r="E128" s="18" t="n"/>
      <c r="F128" s="18" t="n"/>
      <c r="G128" s="18" t="inlineStr">
        <is>
          <t>کانادا</t>
        </is>
      </c>
      <c r="H128" s="18" t="inlineStr">
        <is>
          <t>عطر و ادکلن</t>
        </is>
      </c>
      <c r="I128" s="18" t="inlineStr">
        <is>
          <t>photo_1803@02-05-2026_23-36-51.jpg</t>
        </is>
      </c>
      <c r="J128" s="18" t="n"/>
      <c r="K128" s="18" t="n"/>
      <c r="L128" s="18" t="n"/>
      <c r="M128" s="18" t="n"/>
      <c r="N128" s="18">
        <f>D128*تنظیمات!$B$3*تنظیمات!$B$5+(F128/1000)*تنظیمات!$B$4</f>
        <v/>
      </c>
    </row>
    <row r="129" ht="72" customHeight="1">
      <c r="A129" s="18" t="inlineStr">
        <is>
          <t>IMP-0125</t>
        </is>
      </c>
      <c r="B129" s="18" t="inlineStr">
        <is>
          <t>Clinique happy for men</t>
        </is>
      </c>
      <c r="C129" s="18" t="inlineStr">
        <is>
          <t>Clinique happy for men
🔸️نوع:مردانه
🔸️تولید از سال‌:1999
🔸️سبک:مرکباتی - معطر
🌸ترکیب نت‌ها:
🔸 نت‌های ابتدایی: نارنگی ماندارین، آب دریا ، ترکیبات سبز ، لیمو ترش سبز، مرکبات
🔸 نت‌های میانی: رز ، فریزیا ، یاس، گل برف
🔸 نت‌های پایه:
مشک ، سدر ، سرو ، چوب گایاک
📝توضیحات:
رایحه ای است فوق العاده جذاب . در ابتدای مصرف ، به خاطر وجود اسانس مرکبات ، سایر اسانسهای معطر و رایحة ناب دریا ، حسی سرشار از لذّت و شادابی به شما دست می دهد . بویی که در عمق این ادکلن به مشام می رسد عطر ملایم گل هاست که با مهربانی ما را به استشمام عطر خوش سدر جنگلی ، سرو ، عودالانبیا و مشک دعوت می کند . امروزه شادبودن ، بیش از داشتن پول و آسایش ، مورد توجه و پسند است و این دقیقاً علت پرطرفدار بودن Happy  Clinique است .
32.5$</t>
        </is>
      </c>
      <c r="D129" s="18" t="n">
        <v>32.5</v>
      </c>
      <c r="E129" s="18" t="n"/>
      <c r="F129" s="18" t="n"/>
      <c r="G129" s="18" t="inlineStr">
        <is>
          <t>کانادا</t>
        </is>
      </c>
      <c r="H129" s="18" t="inlineStr">
        <is>
          <t>عطر و ادکلن</t>
        </is>
      </c>
      <c r="I129" s="18" t="inlineStr">
        <is>
          <t>photo_1804@02-05-2026_23-36-51.jpg</t>
        </is>
      </c>
      <c r="J129" s="18" t="n"/>
      <c r="K129" s="18" t="n"/>
      <c r="L129" s="18" t="n"/>
      <c r="M129" s="18" t="n"/>
      <c r="N129" s="18">
        <f>D129*تنظیمات!$B$3*تنظیمات!$B$5+(F129/1000)*تنظیمات!$B$4</f>
        <v/>
      </c>
    </row>
    <row r="130" ht="72" customHeight="1">
      <c r="A130" s="18" t="inlineStr">
        <is>
          <t>IMP-0126</t>
        </is>
      </c>
      <c r="B130" s="18" t="inlineStr">
        <is>
          <t>F by ferragamo black</t>
        </is>
      </c>
      <c r="C130" s="18" t="inlineStr">
        <is>
          <t>F by ferragamo black
🔸️نوع:مردانه
🔸️تولید از سال‌:2007
🔸️سبک:شرقی - چوبی
🌸ترکیب نت‌ها:
🔸 نت‌های ابتدایی: سیب ، اسطوخودوس
🔸 نت‌های میانی: فلفل
🔸 نت‌های پایه:
کهربا، چرم ، لابدانیوم
📝توضیحات:
این عطر جدید وخاص مردان شیک و مدرن در سال 2007 و توسط Olivier Polge ساخته شد.
نت بالای این عطر از دو اسانس اسطوخدوس و سیب تازه تشکیل میشود و گرمی‌آن در اثر فلفل سیاه ماداگاسکار است. همچنین از لادن جهت ایجاد نت کهربا استفاده شده است. این عطر برای قرارهای عاشقانه پیشنهاد میشود
جعبه اصلی
50ml
34$</t>
        </is>
      </c>
      <c r="D130" s="18" t="n">
        <v>34</v>
      </c>
      <c r="E130" s="18" t="inlineStr">
        <is>
          <t>50ml</t>
        </is>
      </c>
      <c r="F130" s="18" t="n"/>
      <c r="G130" s="18" t="inlineStr">
        <is>
          <t>کانادا</t>
        </is>
      </c>
      <c r="H130" s="18" t="inlineStr">
        <is>
          <t>عطر و ادکلن</t>
        </is>
      </c>
      <c r="I130" s="18" t="inlineStr">
        <is>
          <t>photo_1805@02-05-2026_23-36-52.jpg</t>
        </is>
      </c>
      <c r="J130" s="18" t="n"/>
      <c r="K130" s="18" t="n"/>
      <c r="L130" s="18" t="n"/>
      <c r="M130" s="18" t="n"/>
      <c r="N130" s="18">
        <f>D130*تنظیمات!$B$3*تنظیمات!$B$5+(F130/1000)*تنظیمات!$B$4</f>
        <v/>
      </c>
    </row>
    <row r="131" ht="72" customHeight="1">
      <c r="A131" s="18" t="inlineStr">
        <is>
          <t>IMP-0127</t>
        </is>
      </c>
      <c r="B131" s="18" t="inlineStr">
        <is>
          <t>Dior Sauvage Eau de parfum</t>
        </is>
      </c>
      <c r="C131" s="18" t="inlineStr">
        <is>
          <t>Dior Sauvage Eau de parfum
🔸️نوع:مردانه
🔸️تولید از سال‌:2018
🔸️سبک:شرقی - فوژه
🌸ترکیب نت‌ها:
🔸 نت‌های ابتدایی:ترنج
🔸 نت‌های میانی: اسطوخودوس ، جوز ، بادیان ختایی ، فلفل سیچوان
🔸 نت‌های پایه:  وانیل ، آمبروکسان
📝توضیحات:
آمیزه این ادیشن که سرشار از سویه‌های وانیلی و شرقی است، روحی فراگیر، اسرارآمیز، هوس‌انگیز و دلپذیر دارد.
آمیزه «ساوج ادو پرفیوم» بعضی از نت‌های عطر اصلی مانند ترنج، فلفل سیچوان، اسطوخودوس و آمبروکسان را حفظ می‌کند و آنها را به‌واسطه نت‌های شرقی و گرم برگرفته از جوز، بادیان ختایی و وانیل پاپوآ غنی‌تر و پُرمایه‌تر می‌سازد.
تستر
100ml
125$
10ml
15$</t>
        </is>
      </c>
      <c r="D131" s="18" t="n">
        <v>125</v>
      </c>
      <c r="E131" s="18" t="inlineStr">
        <is>
          <t>100ml</t>
        </is>
      </c>
      <c r="F131" s="18" t="n"/>
      <c r="G131" s="18" t="inlineStr">
        <is>
          <t>کانادا</t>
        </is>
      </c>
      <c r="H131" s="18" t="inlineStr">
        <is>
          <t>عطر و ادکلن</t>
        </is>
      </c>
      <c r="I131" s="18" t="inlineStr">
        <is>
          <t>photo_1806@02-05-2026_23-38-51.jpg</t>
        </is>
      </c>
      <c r="J131" s="18" t="n"/>
      <c r="K131" s="18" t="n"/>
      <c r="L131" s="18" t="n"/>
      <c r="M131" s="18" t="n"/>
      <c r="N131" s="18">
        <f>D131*تنظیمات!$B$3*تنظیمات!$B$5+(F131/1000)*تنظیمات!$B$4</f>
        <v/>
      </c>
    </row>
    <row r="132" ht="72" customHeight="1">
      <c r="A132" s="18" t="inlineStr">
        <is>
          <t>IMP-0128</t>
        </is>
      </c>
      <c r="B132" s="18" t="inlineStr">
        <is>
          <t>نت ها</t>
        </is>
      </c>
      <c r="C132" s="18" t="inlineStr">
        <is>
          <t>🌸 نت ها
رایحه اولیه: ترنج ، فلفل صورتی ، آلو
رایحه میانی: مشک ، رز ، گل مریم
رایحه پایه: وانیل
اگه دنبال عطری هستی که همزمان ملایم و جذاب باشه و یه امضای خاص از خودت بسازه، Musc Noir Rose دقیقا همونه.
ترکیب رز مخملی با امضای معروف مشک نارسیسو، یه رایحه‌ای می‌سازه که هم دلنشینه هم به شدت به‌یادموندنی.
مناسب قرارهای خاص، شب‌های رمانتیک و وقتی که می‌خوای فقط “خاص” باشی، بدون اینکه تلاش کنی.
قیمت اصلی:158$
داخل حراج شیسیدو:61$😍😍</t>
        </is>
      </c>
      <c r="D132" s="18" t="n">
        <v>158</v>
      </c>
      <c r="E132" s="18" t="n"/>
      <c r="F132" s="18" t="n"/>
      <c r="G132" s="18" t="inlineStr">
        <is>
          <t>کانادا</t>
        </is>
      </c>
      <c r="H132" s="18" t="inlineStr">
        <is>
          <t>عطر و ادکلن</t>
        </is>
      </c>
      <c r="I132" s="18" t="inlineStr">
        <is>
          <t>photo_1808@03-05-2026_13-33-31.jpg</t>
        </is>
      </c>
      <c r="J132" s="18" t="n"/>
      <c r="K132" s="18" t="n"/>
      <c r="L132" s="18" t="n"/>
      <c r="M132" s="18" t="n"/>
      <c r="N132" s="18">
        <f>D132*تنظیمات!$B$3*تنظیمات!$B$5+(F132/1000)*تنظیمات!$B$4</f>
        <v/>
      </c>
    </row>
    <row r="133" ht="72" customHeight="1">
      <c r="A133" s="18" t="inlineStr">
        <is>
          <t>IMP-0129</t>
        </is>
      </c>
      <c r="B133" s="18" t="inlineStr">
        <is>
          <t>نت ها</t>
        </is>
      </c>
      <c r="C133" s="18" t="inlineStr">
        <is>
          <t>🌸 نت ها
رایحه اولیه: آلو
رایحه میانی: مشک ، گل آفتاب پرست
رایحه پایه: جیر
رایحه ی معتدل برای استفاده در تمام فصول سال پیشنهاد می شود . عطر نارسیسو رودیگز ماسک نویر رایحه ای جدید و جسورانه با عناصر پر رمز و راز و فریب دهنده را به مصرف کننده هدیه می دهد .
با رایحه ای جذاب برای تقویت و آشکار کردن درونی ترین زیبایی زنان با قدرت تحریک کنندگی بالا ایجاد شده است. بیانیه ای در مورد طبیعت بی انتها مرموز احساسات زنان است .
قیمت در حراج:78$😍</t>
        </is>
      </c>
      <c r="D133" s="18" t="n">
        <v>78</v>
      </c>
      <c r="E133" s="18" t="n"/>
      <c r="F133" s="18" t="n"/>
      <c r="G133" s="18" t="inlineStr">
        <is>
          <t>کانادا</t>
        </is>
      </c>
      <c r="H133" s="18" t="inlineStr">
        <is>
          <t>عطر و ادکلن</t>
        </is>
      </c>
      <c r="I133" s="18" t="inlineStr">
        <is>
          <t>photo_1809@03-05-2026_13-41-42.jpg</t>
        </is>
      </c>
      <c r="J133" s="18" t="n"/>
      <c r="K133" s="18" t="n"/>
      <c r="L133" s="18" t="n"/>
      <c r="M133" s="18" t="n"/>
      <c r="N133" s="18">
        <f>D133*تنظیمات!$B$3*تنظیمات!$B$5+(F133/1000)*تنظیمات!$B$4</f>
        <v/>
      </c>
    </row>
    <row r="134" ht="72" customHeight="1">
      <c r="A134" s="18" t="inlineStr">
        <is>
          <t>IMP-0130</t>
        </is>
      </c>
      <c r="B134" s="18" t="inlineStr">
        <is>
          <t>نت ها</t>
        </is>
      </c>
      <c r="C134" s="18" t="inlineStr">
        <is>
          <t>🌸 نت ها
رایحه اولیه: فرانجیپانی، یلانگ یلانگ، گل‌های سفید
رایحه میانی: مشک، کهربا
رایحه پایه: کشمیر، وانیل، سدر
ترکیب بویایی این عطر با رایحه‌ای لطیف و گلی آغاز می‌شود و به‌تدریج با نت‌های گرم‌تر و عمیق‌تر ادامه پیدا می‌کند. در پایان، رایحه‌ای چوبی و اندکی شیرین باقی می‌ماند که ماندگاری چشمگیری دارد و به‌مرور با پوست هماهنگ می‌شود. این ساختار چند مرحله‌ای باعث می‌شود تجربه استفاده از این عطر در طول روز متنوع و جذاب باقی بماند.
قیمت در حراج:76$😍</t>
        </is>
      </c>
      <c r="D134" s="18" t="n">
        <v>76</v>
      </c>
      <c r="E134" s="18" t="n"/>
      <c r="F134" s="18" t="n"/>
      <c r="G134" s="18" t="inlineStr">
        <is>
          <t>کانادا</t>
        </is>
      </c>
      <c r="H134" s="18" t="inlineStr">
        <is>
          <t>عطر و ادکلن</t>
        </is>
      </c>
      <c r="I134" s="18" t="inlineStr">
        <is>
          <t>photo_1810@03-05-2026_13-46-23.jpg</t>
        </is>
      </c>
      <c r="J134" s="18" t="n"/>
      <c r="K134" s="18" t="n"/>
      <c r="L134" s="18" t="n"/>
      <c r="M134" s="18" t="n"/>
      <c r="N134" s="18">
        <f>D134*تنظیمات!$B$3*تنظیمات!$B$5+(F134/1000)*تنظیمات!$B$4</f>
        <v/>
      </c>
    </row>
    <row r="135" ht="72" customHeight="1">
      <c r="A135" s="18" t="inlineStr">
        <is>
          <t>IMP-0131</t>
        </is>
      </c>
      <c r="B135" s="18" t="inlineStr">
        <is>
          <t>ترکیب نت‌ها</t>
        </is>
      </c>
      <c r="C135" s="18" t="inlineStr">
        <is>
          <t>🌸ترکیب نت‌ها:
نت‌های ابتدایی: رز ، هلو
نت‌های میانی: مشک ، کهربا
نت‌های پایه: نعناع هندی ، چوب صندل سفید
با اولین اسپری… رایحه‌ی رز مخملی و هلو‌ی آبدار مثل پرده‌ای از لطافت و اغواگری روی پوست می‌نشیند.
لحظاتی بعد، مشک ناب قلب عطر را آشکار می‌کند؛ رایحه‌ای عمیق، مرموز و بی‌نهایت زنانه.
و در پایان، ترکیب چوب صندل، نعناع هندی و عنبر گرم اثری ماندگار و وسوسه‌انگیز بر جا می‌گذارد.
قیمت در حراج:61$😍</t>
        </is>
      </c>
      <c r="D135" s="18" t="n">
        <v>61</v>
      </c>
      <c r="E135" s="18" t="n"/>
      <c r="F135" s="18" t="n"/>
      <c r="G135" s="18" t="inlineStr">
        <is>
          <t>کانادا</t>
        </is>
      </c>
      <c r="H135" s="18" t="inlineStr">
        <is>
          <t>عطر و ادکلن</t>
        </is>
      </c>
      <c r="I135" s="18" t="inlineStr">
        <is>
          <t>photo_1812@03-05-2026_13-53-02.jpg</t>
        </is>
      </c>
      <c r="J135" s="18" t="n"/>
      <c r="K135" s="18" t="n"/>
      <c r="L135" s="18" t="n"/>
      <c r="M135" s="18" t="n"/>
      <c r="N135" s="18">
        <f>D135*تنظیمات!$B$3*تنظیمات!$B$5+(F135/1000)*تنظیمات!$B$4</f>
        <v/>
      </c>
    </row>
    <row r="136" ht="72" customHeight="1">
      <c r="A136" s="18" t="inlineStr">
        <is>
          <t>IMP-0132</t>
        </is>
      </c>
      <c r="B136" s="18" t="inlineStr">
        <is>
          <t>Dior Joy Intense – دیور جوی اینتنس</t>
        </is>
      </c>
      <c r="C136" s="18" t="inlineStr">
        <is>
          <t>Dior Joy Intense – دیور جوی اینتنس
✅ رایحه: گلی، مرکباتی، چوبی
✅ طبع: ملایم و شیرین
✅ حس کلی: شاداب، زنانه، درخشان
Dior Joy Intense با ترکیب رایحه‌های مرکباتی و گل یاس آغاز می‌شود که حس شادابی و انرژی مثبت را منتقل می‌کند. در نت میانه، رز و چوب صندل به رایحه‌ای گلی و چوبی تبدیل می‌شوند و حسی لطیف و ملایم به عطر می‌بخشند. در نهایت، مشک و وانیل رایحه‌ای گرم و دلپذیر ایجاد می‌کنند که ماندگاری بالایی دارد.
🔹 مناسب برای: روزهای بهار و تابستان، استفاده روزانه
🔸 نکته: اگر به دنبال عطری هستید که حس شادابی، زیبایی و زنانه‌گی را به شما منتقل کند و برای استفاده روزانه مناسب باشد، Dior Joy Intense بهترین انتخاب خواهد بود.
90$
306gr
موجود در ایران</t>
        </is>
      </c>
      <c r="D136" s="18" t="n">
        <v>90</v>
      </c>
      <c r="E136" s="18" t="n"/>
      <c r="F136" s="18" t="n">
        <v>306</v>
      </c>
      <c r="G136" s="18" t="inlineStr">
        <is>
          <t>کانادا</t>
        </is>
      </c>
      <c r="H136" s="18" t="inlineStr">
        <is>
          <t>عطر و ادکلن</t>
        </is>
      </c>
      <c r="I136" s="18" t="inlineStr">
        <is>
          <t>photo_1813@08-05-2026_14-20-24.jpg</t>
        </is>
      </c>
      <c r="J136" s="18" t="n"/>
      <c r="K136" s="18" t="n"/>
      <c r="L136" s="18" t="n"/>
      <c r="M136" s="18" t="n"/>
      <c r="N136" s="18">
        <f>D136*تنظیمات!$B$3*تنظیمات!$B$5+(F136/1000)*تنظیمات!$B$4</f>
        <v/>
      </c>
    </row>
    <row r="137" ht="72" customHeight="1">
      <c r="A137" s="18" t="inlineStr">
        <is>
          <t>IMP-0133</t>
        </is>
      </c>
      <c r="B137" s="18" t="inlineStr">
        <is>
          <t>Lacoste Touch of Pink – لاگوست تاچ آو پینک</t>
        </is>
      </c>
      <c r="C137" s="18" t="inlineStr">
        <is>
          <t>Lacoste Touch of Pink – لاگوست تاچ آو پینک
✅ رایحه: میوه‌ای، گلی، شیرین
✅ طبع: ملایم و شیرین
✅ حس کلی: جوان، شاداب، پرانرژی
Touch of Pink از Lacoste عطری است که با ترکیب مجموعه‌ای از نت‌های مرکباتی مانند پرتقال، هلو و گلابی به همراه گل یاس، شکوفه پرتقال و مشک، حس شادی و سرزندگی را القا می‌کند. این عطر به دلیل طبع شیرین و تازه‌اش، برای افرادی که به دنبال عطری سبک و جوان‌پسند هستند بسیار مناسب است.
🔹 مناسب برای: استفاده روزانه، فصول بهار و تابستان
🔸 نکته: اگر به دنبال عطری ملایم، شاداب و شیرین برای روزهای پرانرژی هستید، Touch of Pink انتخابی عالی است.
40$
226gr
موجود در ایران</t>
        </is>
      </c>
      <c r="D137" s="18" t="n">
        <v>40</v>
      </c>
      <c r="E137" s="18" t="n"/>
      <c r="F137" s="18" t="n">
        <v>226</v>
      </c>
      <c r="G137" s="18" t="inlineStr">
        <is>
          <t>کانادا</t>
        </is>
      </c>
      <c r="H137" s="18" t="inlineStr">
        <is>
          <t>عطر و ادکلن</t>
        </is>
      </c>
      <c r="I137" s="18" t="inlineStr">
        <is>
          <t>photo_1814@08-05-2026_14-21-47.jpg</t>
        </is>
      </c>
      <c r="J137" s="18" t="n"/>
      <c r="K137" s="18" t="n"/>
      <c r="L137" s="18" t="n"/>
      <c r="M137" s="18" t="n"/>
      <c r="N137" s="18">
        <f>D137*تنظیمات!$B$3*تنظیمات!$B$5+(F137/1000)*تنظیمات!$B$4</f>
        <v/>
      </c>
    </row>
    <row r="138" ht="72" customHeight="1">
      <c r="A138" s="18" t="inlineStr">
        <is>
          <t>IMP-0134</t>
        </is>
      </c>
      <c r="B138" s="18" t="inlineStr">
        <is>
          <t>عطر Miss Dior</t>
        </is>
      </c>
      <c r="C138" s="18" t="inlineStr">
        <is>
          <t>عطر  Miss Dior
5ml
12$</t>
        </is>
      </c>
      <c r="D138" s="18" t="n">
        <v>12</v>
      </c>
      <c r="E138" s="18" t="inlineStr">
        <is>
          <t>5ml</t>
        </is>
      </c>
      <c r="F138" s="18" t="n"/>
      <c r="G138" s="18" t="inlineStr">
        <is>
          <t>کانادا</t>
        </is>
      </c>
      <c r="H138" s="18" t="inlineStr">
        <is>
          <t>عطر و ادکلن</t>
        </is>
      </c>
      <c r="I138" s="18" t="inlineStr">
        <is>
          <t>photo_1815@16-05-2026_18-53-16.jpg</t>
        </is>
      </c>
      <c r="J138" s="18" t="n"/>
      <c r="K138" s="18" t="n"/>
      <c r="L138" s="18" t="n"/>
      <c r="M138" s="18" t="n"/>
      <c r="N138" s="18">
        <f>D138*تنظیمات!$B$3*تنظیمات!$B$5+(F138/1000)*تنظیمات!$B$4</f>
        <v/>
      </c>
    </row>
    <row r="139" ht="72" customHeight="1">
      <c r="A139" s="18" t="inlineStr">
        <is>
          <t>IMP-0135</t>
        </is>
      </c>
      <c r="B139" s="18" t="inlineStr">
        <is>
          <t>Versace Eros edt 5ml</t>
        </is>
      </c>
      <c r="C139" s="18" t="inlineStr">
        <is>
          <t>Versace Eros edt 5ml
7$</t>
        </is>
      </c>
      <c r="D139" s="18" t="n">
        <v>7</v>
      </c>
      <c r="E139" s="18" t="inlineStr">
        <is>
          <t>5ml</t>
        </is>
      </c>
      <c r="F139" s="18" t="n"/>
      <c r="G139" s="18" t="inlineStr">
        <is>
          <t>کانادا</t>
        </is>
      </c>
      <c r="H139" s="18" t="inlineStr">
        <is>
          <t>عطر و ادکلن</t>
        </is>
      </c>
      <c r="I139" s="18" t="inlineStr">
        <is>
          <t>photo_1817@16-05-2026_18-53-17.jpg</t>
        </is>
      </c>
      <c r="J139" s="18" t="n"/>
      <c r="K139" s="18" t="n"/>
      <c r="L139" s="18" t="n"/>
      <c r="M139" s="18" t="n"/>
      <c r="N139" s="18">
        <f>D139*تنظیمات!$B$3*تنظیمات!$B$5+(F139/1000)*تنظیمات!$B$4</f>
        <v/>
      </c>
    </row>
    <row r="140" ht="72" customHeight="1">
      <c r="A140" s="18" t="inlineStr">
        <is>
          <t>IMP-0136</t>
        </is>
      </c>
      <c r="B140" s="18" t="inlineStr">
        <is>
          <t>YSL</t>
        </is>
      </c>
      <c r="C140" s="18" t="inlineStr">
        <is>
          <t>YSL
Myself
7.5ml
12$
مردانه</t>
        </is>
      </c>
      <c r="D140" s="18" t="n">
        <v>12</v>
      </c>
      <c r="E140" s="18" t="inlineStr">
        <is>
          <t>7.5ml</t>
        </is>
      </c>
      <c r="F140" s="18" t="n"/>
      <c r="G140" s="18" t="inlineStr">
        <is>
          <t>کانادا</t>
        </is>
      </c>
      <c r="H140" s="18" t="inlineStr">
        <is>
          <t>عطر و ادکلن</t>
        </is>
      </c>
      <c r="I140" s="18" t="inlineStr">
        <is>
          <t>photo_1818@16-05-2026_18-53-17.jpg</t>
        </is>
      </c>
      <c r="J140" s="18" t="n"/>
      <c r="K140" s="18" t="n"/>
      <c r="L140" s="18" t="n"/>
      <c r="M140" s="18" t="n"/>
      <c r="N140" s="18">
        <f>D140*تنظیمات!$B$3*تنظیمات!$B$5+(F140/1000)*تنظیمات!$B$4</f>
        <v/>
      </c>
    </row>
    <row r="141" ht="72" customHeight="1">
      <c r="A141" s="18" t="inlineStr">
        <is>
          <t>IMP-0137</t>
        </is>
      </c>
      <c r="B141" s="18" t="inlineStr">
        <is>
          <t>Million gold 10ml for her spray edp</t>
        </is>
      </c>
      <c r="C141" s="18" t="inlineStr">
        <is>
          <t>Million gold 10ml for her spray edp
15$</t>
        </is>
      </c>
      <c r="D141" s="18" t="n">
        <v>15</v>
      </c>
      <c r="E141" s="18" t="inlineStr">
        <is>
          <t>10ml</t>
        </is>
      </c>
      <c r="F141" s="18" t="n"/>
      <c r="G141" s="18" t="inlineStr">
        <is>
          <t>کانادا</t>
        </is>
      </c>
      <c r="H141" s="18" t="inlineStr">
        <is>
          <t>عطر و ادکلن</t>
        </is>
      </c>
      <c r="I141" s="18" t="inlineStr">
        <is>
          <t>photo_1819@16-05-2026_18-53-18.jpg</t>
        </is>
      </c>
      <c r="J141" s="18" t="n"/>
      <c r="K141" s="18" t="n"/>
      <c r="L141" s="18" t="n"/>
      <c r="M141" s="18" t="n"/>
      <c r="N141" s="18">
        <f>D141*تنظیمات!$B$3*تنظیمات!$B$5+(F141/1000)*تنظیمات!$B$4</f>
        <v/>
      </c>
    </row>
    <row r="142" ht="72" customHeight="1">
      <c r="A142" s="18" t="inlineStr">
        <is>
          <t>IMP-0138</t>
        </is>
      </c>
      <c r="B142" s="18" t="inlineStr">
        <is>
          <t>Dolce &amp; Gabbana</t>
        </is>
      </c>
      <c r="C142" s="18" t="inlineStr">
        <is>
          <t>Dolce &amp; Gabbana
10ml
15$
مردانه</t>
        </is>
      </c>
      <c r="D142" s="18" t="n">
        <v>15</v>
      </c>
      <c r="E142" s="18" t="inlineStr">
        <is>
          <t>10ml</t>
        </is>
      </c>
      <c r="F142" s="18" t="n"/>
      <c r="G142" s="18" t="inlineStr">
        <is>
          <t>کانادا</t>
        </is>
      </c>
      <c r="H142" s="18" t="inlineStr">
        <is>
          <t>عطر و ادکلن</t>
        </is>
      </c>
      <c r="I142" s="18" t="inlineStr">
        <is>
          <t>photo_1820@16-05-2026_18-53-18.jpg</t>
        </is>
      </c>
      <c r="J142" s="18" t="n"/>
      <c r="K142" s="18" t="n"/>
      <c r="L142" s="18" t="n"/>
      <c r="M142" s="18" t="n"/>
      <c r="N142" s="18">
        <f>D142*تنظیمات!$B$3*تنظیمات!$B$5+(F142/1000)*تنظیمات!$B$4</f>
        <v/>
      </c>
    </row>
    <row r="143" ht="72" customHeight="1">
      <c r="A143" s="18" t="inlineStr">
        <is>
          <t>IMP-0139</t>
        </is>
      </c>
      <c r="B143" s="18" t="inlineStr">
        <is>
          <t>Sauvage edp</t>
        </is>
      </c>
      <c r="C143" s="18" t="inlineStr">
        <is>
          <t>Sauvage edp
10ml
15$</t>
        </is>
      </c>
      <c r="D143" s="18" t="n">
        <v>15</v>
      </c>
      <c r="E143" s="18" t="inlineStr">
        <is>
          <t>10ml</t>
        </is>
      </c>
      <c r="F143" s="18" t="n"/>
      <c r="G143" s="18" t="inlineStr">
        <is>
          <t>کانادا</t>
        </is>
      </c>
      <c r="H143" s="18" t="inlineStr">
        <is>
          <t>عطر و ادکلن</t>
        </is>
      </c>
      <c r="I143" s="18" t="inlineStr">
        <is>
          <t>photo_1821@16-05-2026_18-53-19.jpg</t>
        </is>
      </c>
      <c r="J143" s="18" t="n"/>
      <c r="K143" s="18" t="n"/>
      <c r="L143" s="18" t="n"/>
      <c r="M143" s="18" t="n"/>
      <c r="N143" s="18">
        <f>D143*تنظیمات!$B$3*تنظیمات!$B$5+(F143/1000)*تنظیمات!$B$4</f>
        <v/>
      </c>
    </row>
    <row r="144" ht="72" customHeight="1">
      <c r="A144" s="18" t="inlineStr">
        <is>
          <t>IMP-0140</t>
        </is>
      </c>
      <c r="B144" s="18" t="inlineStr">
        <is>
          <t>Sauvage Elixir</t>
        </is>
      </c>
      <c r="C144" s="18" t="inlineStr">
        <is>
          <t>Sauvage Elixir
7.5ml
16$</t>
        </is>
      </c>
      <c r="D144" s="18" t="n">
        <v>16</v>
      </c>
      <c r="E144" s="18" t="inlineStr">
        <is>
          <t>7.5ml</t>
        </is>
      </c>
      <c r="F144" s="18" t="n"/>
      <c r="G144" s="18" t="inlineStr">
        <is>
          <t>کانادا</t>
        </is>
      </c>
      <c r="H144" s="18" t="inlineStr">
        <is>
          <t>عطر و ادکلن</t>
        </is>
      </c>
      <c r="I144" s="18" t="inlineStr">
        <is>
          <t>photo_1822@16-05-2026_18-53-19.jpg</t>
        </is>
      </c>
      <c r="J144" s="18" t="n"/>
      <c r="K144" s="18" t="n"/>
      <c r="L144" s="18" t="n"/>
      <c r="M144" s="18" t="n"/>
      <c r="N144" s="18">
        <f>D144*تنظیمات!$B$3*تنظیمات!$B$5+(F144/1000)*تنظیمات!$B$4</f>
        <v/>
      </c>
    </row>
    <row r="145" ht="72" customHeight="1">
      <c r="A145" s="18" t="inlineStr">
        <is>
          <t>IMP-0141</t>
        </is>
      </c>
      <c r="B145" s="18" t="inlineStr">
        <is>
          <t>‏love spell</t>
        </is>
      </c>
      <c r="C145" s="18" t="inlineStr">
        <is>
          <t>‏love spell
‏
‌‏‌‎جادوی عشق
بادی میست و لوشن قوی و سکسی
‌‏‌‎شیرین‌و‌ کمی گرم ،میوه ای قوی
‌‏‌‎ با پخش بوی بالا
‌‏‌‎با رایحه ی شکوفه های هلو و گیلاس
‌‎250ml
8$
272gr</t>
        </is>
      </c>
      <c r="D145" s="18" t="n">
        <v>8</v>
      </c>
      <c r="E145" s="18" t="inlineStr">
        <is>
          <t>250ml</t>
        </is>
      </c>
      <c r="F145" s="18" t="n">
        <v>272</v>
      </c>
      <c r="G145" s="18" t="inlineStr">
        <is>
          <t>کانادا</t>
        </is>
      </c>
      <c r="H145" s="18" t="inlineStr">
        <is>
          <t>عطر و ادکلن</t>
        </is>
      </c>
      <c r="I145" s="18" t="inlineStr">
        <is>
          <t>photo_1827@16-05-2026_19-07-00.jpg</t>
        </is>
      </c>
      <c r="J145" s="18" t="n"/>
      <c r="K145" s="18" t="n"/>
      <c r="L145" s="18" t="n"/>
      <c r="M145" s="18" t="n"/>
      <c r="N145" s="18">
        <f>D145*تنظیمات!$B$3*تنظیمات!$B$5+(F145/1000)*تنظیمات!$B$4</f>
        <v/>
      </c>
    </row>
    <row r="146" ht="72" customHeight="1">
      <c r="A146" s="18" t="inlineStr">
        <is>
          <t>IMP-0142</t>
        </is>
      </c>
      <c r="B146" s="18" t="inlineStr">
        <is>
          <t>264gr</t>
        </is>
      </c>
      <c r="C146" s="18" t="inlineStr">
        <is>
          <t>250ml
264gr
8$</t>
        </is>
      </c>
      <c r="D146" s="18" t="n">
        <v>8</v>
      </c>
      <c r="E146" s="18" t="inlineStr">
        <is>
          <t>250ml</t>
        </is>
      </c>
      <c r="F146" s="18" t="n">
        <v>264</v>
      </c>
      <c r="G146" s="18" t="inlineStr">
        <is>
          <t>کانادا</t>
        </is>
      </c>
      <c r="H146" s="18" t="inlineStr">
        <is>
          <t>عطر و ادکلن</t>
        </is>
      </c>
      <c r="I146" s="18" t="inlineStr">
        <is>
          <t>photo_1828@16-05-2026_19-17-00.jpg</t>
        </is>
      </c>
      <c r="J146" s="18" t="n"/>
      <c r="K146" s="18" t="n"/>
      <c r="L146" s="18" t="n"/>
      <c r="M146" s="18" t="n"/>
      <c r="N146" s="18">
        <f>D146*تنظیمات!$B$3*تنظیمات!$B$5+(F146/1000)*تنظیمات!$B$4</f>
        <v/>
      </c>
    </row>
    <row r="147" ht="72" customHeight="1">
      <c r="A147" s="18" t="inlineStr">
        <is>
          <t>IMP-0143</t>
        </is>
      </c>
      <c r="B147" s="18" t="inlineStr">
        <is>
          <t>258gr</t>
        </is>
      </c>
      <c r="C147" s="18" t="inlineStr">
        <is>
          <t>250ml
258gr
8$</t>
        </is>
      </c>
      <c r="D147" s="18" t="n">
        <v>8</v>
      </c>
      <c r="E147" s="18" t="inlineStr">
        <is>
          <t>250ml</t>
        </is>
      </c>
      <c r="F147" s="18" t="n">
        <v>258</v>
      </c>
      <c r="G147" s="18" t="inlineStr">
        <is>
          <t>کانادا</t>
        </is>
      </c>
      <c r="H147" s="18" t="inlineStr">
        <is>
          <t>عطر و ادکلن</t>
        </is>
      </c>
      <c r="I147" s="18" t="inlineStr">
        <is>
          <t>photo_1829@16-05-2026_19-17-14.jpg</t>
        </is>
      </c>
      <c r="J147" s="18" t="n"/>
      <c r="K147" s="18" t="n"/>
      <c r="L147" s="18" t="n"/>
      <c r="M147" s="18" t="n"/>
      <c r="N147" s="18">
        <f>D147*تنظیمات!$B$3*تنظیمات!$B$5+(F147/1000)*تنظیمات!$B$4</f>
        <v/>
      </c>
    </row>
    <row r="148" ht="72" customHeight="1">
      <c r="A148" s="18" t="inlineStr">
        <is>
          <t>IMP-0144</t>
        </is>
      </c>
      <c r="B148" s="18" t="inlineStr">
        <is>
          <t>261gr</t>
        </is>
      </c>
      <c r="C148" s="18" t="inlineStr">
        <is>
          <t>250ml
261gr
8$</t>
        </is>
      </c>
      <c r="D148" s="18" t="n">
        <v>8</v>
      </c>
      <c r="E148" s="18" t="inlineStr">
        <is>
          <t>250ml</t>
        </is>
      </c>
      <c r="F148" s="18" t="n">
        <v>261</v>
      </c>
      <c r="G148" s="18" t="inlineStr">
        <is>
          <t>کانادا</t>
        </is>
      </c>
      <c r="H148" s="18" t="inlineStr">
        <is>
          <t>عطر و ادکلن</t>
        </is>
      </c>
      <c r="I148" s="18" t="inlineStr">
        <is>
          <t>photo_1830@16-05-2026_19-17-33.jpg</t>
        </is>
      </c>
      <c r="J148" s="18" t="n"/>
      <c r="K148" s="18" t="n"/>
      <c r="L148" s="18" t="n"/>
      <c r="M148" s="18" t="n"/>
      <c r="N148" s="18">
        <f>D148*تنظیمات!$B$3*تنظیمات!$B$5+(F148/1000)*تنظیمات!$B$4</f>
        <v/>
      </c>
    </row>
    <row r="149" ht="72" customHeight="1">
      <c r="A149" s="18" t="inlineStr">
        <is>
          <t>IMP-0145</t>
        </is>
      </c>
      <c r="B149" s="18" t="inlineStr">
        <is>
          <t>262gr</t>
        </is>
      </c>
      <c r="C149" s="18" t="inlineStr">
        <is>
          <t>236ml
262gr
6$</t>
        </is>
      </c>
      <c r="D149" s="18" t="n">
        <v>6</v>
      </c>
      <c r="E149" s="18" t="inlineStr">
        <is>
          <t>236ml</t>
        </is>
      </c>
      <c r="F149" s="18" t="n">
        <v>262</v>
      </c>
      <c r="G149" s="18" t="inlineStr">
        <is>
          <t>کانادا</t>
        </is>
      </c>
      <c r="H149" s="18" t="inlineStr">
        <is>
          <t>عطر و ادکلن</t>
        </is>
      </c>
      <c r="I149" s="18" t="inlineStr">
        <is>
          <t>photo_1831@16-05-2026_19-18-00.jpg</t>
        </is>
      </c>
      <c r="J149" s="18" t="n"/>
      <c r="K149" s="18" t="n"/>
      <c r="L149" s="18" t="n"/>
      <c r="M149" s="18" t="n"/>
      <c r="N149" s="18">
        <f>D149*تنظیمات!$B$3*تنظیمات!$B$5+(F149/1000)*تنظیمات!$B$4</f>
        <v/>
      </c>
    </row>
    <row r="150" ht="72" customHeight="1">
      <c r="A150" s="18" t="inlineStr">
        <is>
          <t>IMP-0146</t>
        </is>
      </c>
      <c r="B150" s="18" t="inlineStr">
        <is>
          <t>Love Spell candied</t>
        </is>
      </c>
      <c r="C150" s="18" t="inlineStr">
        <is>
          <t>Love Spell candied
250ml
8$</t>
        </is>
      </c>
      <c r="D150" s="18" t="n">
        <v>8</v>
      </c>
      <c r="E150" s="18" t="inlineStr">
        <is>
          <t>250ml</t>
        </is>
      </c>
      <c r="F150" s="18" t="n"/>
      <c r="G150" s="18" t="inlineStr">
        <is>
          <t>کانادا</t>
        </is>
      </c>
      <c r="H150" s="18" t="inlineStr">
        <is>
          <t>عطر و ادکلن</t>
        </is>
      </c>
      <c r="I150" s="18" t="inlineStr">
        <is>
          <t>photo_1837@02-06-2026_23-50-41.jpg</t>
        </is>
      </c>
      <c r="J150" s="18" t="n"/>
      <c r="K150" s="18" t="n"/>
      <c r="L150" s="18" t="n"/>
      <c r="M150" s="18" t="n"/>
      <c r="N150" s="18">
        <f>D150*تنظیمات!$B$3*تنظیمات!$B$5+(F150/1000)*تنظیمات!$B$4</f>
        <v/>
      </c>
    </row>
    <row r="151" ht="72" customHeight="1">
      <c r="A151" s="18" t="inlineStr">
        <is>
          <t>IMP-0147</t>
        </is>
      </c>
      <c r="B151" s="18" t="inlineStr">
        <is>
          <t>Love Spell starlit</t>
        </is>
      </c>
      <c r="C151" s="18" t="inlineStr">
        <is>
          <t>Love Spell starlit
250ml
8$
❌❌❌</t>
        </is>
      </c>
      <c r="D151" s="18" t="n">
        <v>8</v>
      </c>
      <c r="E151" s="18" t="inlineStr">
        <is>
          <t>250ml</t>
        </is>
      </c>
      <c r="F151" s="18" t="n"/>
      <c r="G151" s="18" t="inlineStr">
        <is>
          <t>کانادا</t>
        </is>
      </c>
      <c r="H151" s="18" t="inlineStr">
        <is>
          <t>عطر و ادکلن</t>
        </is>
      </c>
      <c r="I151" s="18" t="inlineStr">
        <is>
          <t>photo_1838@02-06-2026_23-50-59.jpg</t>
        </is>
      </c>
      <c r="J151" s="18" t="n"/>
      <c r="K151" s="18" t="n"/>
      <c r="L151" s="18" t="n"/>
      <c r="M151" s="18" t="n"/>
      <c r="N151" s="18">
        <f>D151*تنظیمات!$B$3*تنظیمات!$B$5+(F151/1000)*تنظیمات!$B$4</f>
        <v/>
      </c>
    </row>
    <row r="152" ht="72" customHeight="1">
      <c r="A152" s="18" t="inlineStr">
        <is>
          <t>IMP-0148</t>
        </is>
      </c>
      <c r="B152" s="18" t="inlineStr">
        <is>
          <t>Tease</t>
        </is>
      </c>
      <c r="C152" s="18" t="inlineStr">
        <is>
          <t>Tease
250ml
8$</t>
        </is>
      </c>
      <c r="D152" s="18" t="n">
        <v>8</v>
      </c>
      <c r="E152" s="18" t="inlineStr">
        <is>
          <t>250ml</t>
        </is>
      </c>
      <c r="F152" s="18" t="n"/>
      <c r="G152" s="18" t="inlineStr">
        <is>
          <t>کانادا</t>
        </is>
      </c>
      <c r="H152" s="18" t="inlineStr">
        <is>
          <t>عطر و ادکلن</t>
        </is>
      </c>
      <c r="I152" s="18" t="inlineStr">
        <is>
          <t>photo_1839@02-06-2026_23-51-27.jpg</t>
        </is>
      </c>
      <c r="J152" s="18" t="n"/>
      <c r="K152" s="18" t="n"/>
      <c r="L152" s="18" t="n"/>
      <c r="M152" s="18" t="n"/>
      <c r="N152" s="18">
        <f>D152*تنظیمات!$B$3*تنظیمات!$B$5+(F152/1000)*تنظیمات!$B$4</f>
        <v/>
      </c>
    </row>
    <row r="153" ht="72" customHeight="1">
      <c r="A153" s="18" t="inlineStr">
        <is>
          <t>IMP-0149</t>
        </is>
      </c>
      <c r="B153" s="18" t="inlineStr">
        <is>
          <t>Bombshell</t>
        </is>
      </c>
      <c r="C153" s="18" t="inlineStr">
        <is>
          <t>Bombshell
250ml
8$
❌❌❌</t>
        </is>
      </c>
      <c r="D153" s="18" t="n">
        <v>8</v>
      </c>
      <c r="E153" s="18" t="inlineStr">
        <is>
          <t>250ml</t>
        </is>
      </c>
      <c r="F153" s="18" t="n"/>
      <c r="G153" s="18" t="inlineStr">
        <is>
          <t>کانادا</t>
        </is>
      </c>
      <c r="H153" s="18" t="inlineStr">
        <is>
          <t>عطر و ادکلن</t>
        </is>
      </c>
      <c r="I153" s="18" t="inlineStr">
        <is>
          <t>photo_1840@02-06-2026_23-52-07.jpg</t>
        </is>
      </c>
      <c r="J153" s="18" t="n"/>
      <c r="K153" s="18" t="n"/>
      <c r="L153" s="18" t="n"/>
      <c r="M153" s="18" t="n"/>
      <c r="N153" s="18">
        <f>D153*تنظیمات!$B$3*تنظیمات!$B$5+(F153/1000)*تنظیمات!$B$4</f>
        <v/>
      </c>
    </row>
    <row r="154" ht="72" customHeight="1">
      <c r="A154" s="18" t="inlineStr">
        <is>
          <t>IMP-0150</t>
        </is>
      </c>
      <c r="B154" s="18" t="inlineStr">
        <is>
          <t>Bombshell Glamour</t>
        </is>
      </c>
      <c r="C154" s="18" t="inlineStr">
        <is>
          <t>Bombshell Glamour
250ml
8$
❌❌❌</t>
        </is>
      </c>
      <c r="D154" s="18" t="n">
        <v>8</v>
      </c>
      <c r="E154" s="18" t="inlineStr">
        <is>
          <t>250ml</t>
        </is>
      </c>
      <c r="F154" s="18" t="n"/>
      <c r="G154" s="18" t="inlineStr">
        <is>
          <t>کانادا</t>
        </is>
      </c>
      <c r="H154" s="18" t="inlineStr">
        <is>
          <t>عطر و ادکلن</t>
        </is>
      </c>
      <c r="I154" s="18" t="inlineStr">
        <is>
          <t>photo_1841@02-06-2026_23-52-15.jpg</t>
        </is>
      </c>
      <c r="J154" s="18" t="n"/>
      <c r="K154" s="18" t="n"/>
      <c r="L154" s="18" t="n"/>
      <c r="M154" s="18" t="n"/>
      <c r="N154" s="18">
        <f>D154*تنظیمات!$B$3*تنظیمات!$B$5+(F154/1000)*تنظیمات!$B$4</f>
        <v/>
      </c>
    </row>
    <row r="155" ht="72" customHeight="1">
      <c r="A155" s="18" t="inlineStr">
        <is>
          <t>IMP-0151</t>
        </is>
      </c>
      <c r="B155" s="18" t="inlineStr">
        <is>
          <t>Bombshell midnight</t>
        </is>
      </c>
      <c r="C155" s="18" t="inlineStr">
        <is>
          <t>Bombshell midnight
250ml
8$
❌❌❌</t>
        </is>
      </c>
      <c r="D155" s="18" t="n">
        <v>8</v>
      </c>
      <c r="E155" s="18" t="inlineStr">
        <is>
          <t>250ml</t>
        </is>
      </c>
      <c r="F155" s="18" t="n"/>
      <c r="G155" s="18" t="inlineStr">
        <is>
          <t>کانادا</t>
        </is>
      </c>
      <c r="H155" s="18" t="inlineStr">
        <is>
          <t>عطر و ادکلن</t>
        </is>
      </c>
      <c r="I155" s="18" t="inlineStr">
        <is>
          <t>photo_1842@02-06-2026_23-52-32.jpg</t>
        </is>
      </c>
      <c r="J155" s="18" t="n"/>
      <c r="K155" s="18" t="n"/>
      <c r="L155" s="18" t="n"/>
      <c r="M155" s="18" t="n"/>
      <c r="N155" s="18">
        <f>D155*تنظیمات!$B$3*تنظیمات!$B$5+(F155/1000)*تنظیمات!$B$4</f>
        <v/>
      </c>
    </row>
    <row r="156" ht="72" customHeight="1">
      <c r="A156" s="18" t="inlineStr">
        <is>
          <t>IMP-0152</t>
        </is>
      </c>
      <c r="B156" s="18" t="inlineStr">
        <is>
          <t>Very sexy sea</t>
        </is>
      </c>
      <c r="C156" s="18" t="inlineStr">
        <is>
          <t>Very sexy sea
250ml
8$
❌❌❌</t>
        </is>
      </c>
      <c r="D156" s="18" t="n">
        <v>8</v>
      </c>
      <c r="E156" s="18" t="inlineStr">
        <is>
          <t>250ml</t>
        </is>
      </c>
      <c r="F156" s="18" t="n"/>
      <c r="G156" s="18" t="inlineStr">
        <is>
          <t>کانادا</t>
        </is>
      </c>
      <c r="H156" s="18" t="inlineStr">
        <is>
          <t>عطر و ادکلن</t>
        </is>
      </c>
      <c r="I156" s="18" t="inlineStr">
        <is>
          <t>photo_1843@02-06-2026_23-52-46.jpg</t>
        </is>
      </c>
      <c r="J156" s="18" t="n"/>
      <c r="K156" s="18" t="n"/>
      <c r="L156" s="18" t="n"/>
      <c r="M156" s="18" t="n"/>
      <c r="N156" s="18">
        <f>D156*تنظیمات!$B$3*تنظیمات!$B$5+(F156/1000)*تنظیمات!$B$4</f>
        <v/>
      </c>
    </row>
    <row r="157" ht="72" customHeight="1">
      <c r="A157" s="18" t="inlineStr">
        <is>
          <t>IMP-0153</t>
        </is>
      </c>
      <c r="B157" s="18" t="inlineStr">
        <is>
          <t>Velvet Petals starlit</t>
        </is>
      </c>
      <c r="C157" s="18" t="inlineStr">
        <is>
          <t>Velvet Petals starlit
250ml
8$</t>
        </is>
      </c>
      <c r="D157" s="18" t="n">
        <v>8</v>
      </c>
      <c r="E157" s="18" t="inlineStr">
        <is>
          <t>250ml</t>
        </is>
      </c>
      <c r="F157" s="18" t="n"/>
      <c r="G157" s="18" t="inlineStr">
        <is>
          <t>کانادا</t>
        </is>
      </c>
      <c r="H157" s="18" t="inlineStr">
        <is>
          <t>عطر و ادکلن</t>
        </is>
      </c>
      <c r="I157" s="18" t="inlineStr">
        <is>
          <t>photo_1844@02-06-2026_23-58-58.jpg</t>
        </is>
      </c>
      <c r="J157" s="18" t="n"/>
      <c r="K157" s="18" t="n"/>
      <c r="L157" s="18" t="n"/>
      <c r="M157" s="18" t="n"/>
      <c r="N157" s="18">
        <f>D157*تنظیمات!$B$3*تنظیمات!$B$5+(F157/1000)*تنظیمات!$B$4</f>
        <v/>
      </c>
    </row>
    <row r="158" ht="72" customHeight="1">
      <c r="A158" s="18" t="inlineStr">
        <is>
          <t>IMP-0154</t>
        </is>
      </c>
      <c r="B158" s="18" t="inlineStr">
        <is>
          <t>Bare Vanilla</t>
        </is>
      </c>
      <c r="C158" s="18" t="inlineStr">
        <is>
          <t>Bare Vanilla
75ml
4$
❌❌❌
۱،۲۸۰،۰۰۰   تومان</t>
        </is>
      </c>
      <c r="D158" s="18" t="n">
        <v>4</v>
      </c>
      <c r="E158" s="18" t="inlineStr">
        <is>
          <t>75ml</t>
        </is>
      </c>
      <c r="F158" s="18" t="n"/>
      <c r="G158" s="18" t="inlineStr">
        <is>
          <t>کانادا</t>
        </is>
      </c>
      <c r="H158" s="18" t="inlineStr">
        <is>
          <t>عطر و ادکلن</t>
        </is>
      </c>
      <c r="I158" s="18" t="inlineStr">
        <is>
          <t>photo_1845@03-06-2026_00-00-23.jpg</t>
        </is>
      </c>
      <c r="J158" s="18" t="n"/>
      <c r="K158" s="18" t="n"/>
      <c r="L158" s="18" t="n"/>
      <c r="M158" s="18" t="n"/>
      <c r="N158" s="18">
        <f>D158*تنظیمات!$B$3*تنظیمات!$B$5+(F158/1000)*تنظیمات!$B$4</f>
        <v/>
      </c>
    </row>
    <row r="159" ht="72" customHeight="1">
      <c r="A159" s="18" t="inlineStr">
        <is>
          <t>IMP-0155</t>
        </is>
      </c>
      <c r="B159" s="18" t="inlineStr">
        <is>
          <t>Clinique happy for men</t>
        </is>
      </c>
      <c r="C159" s="18" t="inlineStr">
        <is>
          <t>Clinique happy for men
🔸️نوع:مردانه
🔸️تولید از سال‌:1999
🔸️سبک:مرکباتی - معطر
🌸ترکیب نت‌ها:
🔸 نت‌های ابتدایی: نارنگی ماندارین، آب دریا ، ترکیبات سبز ، لیمو ترش سبز، مرکبات
🔸 نت‌های میانی: رز ، فریزیا ، یاس، گل برف
🔸 نت‌های پایه:
مشک ، سدر ، سرو ، چوب گایاک
📝توضیحات:
رایحه ای است فوق العاده جذاب . در ابتدای مصرف ، به خاطر وجود اسانس مرکبات ، سایر اسانسهای معطر و رایحة ناب دریا ، حسی سرشار از لذّت و شادابی به شما دست می دهد . بویی که در عمق این ادکلن به مشام می رسد عطر ملایم گل هاست که با مهربانی ما را به استشمام عطر خوش سدر جنگلی ، سرو ، عودالانبیا و مشک دعوت می کند . امروزه شادبودن ، بیش از داشتن پول و آسایش ، مورد توجه و پسند است و این دقیقاً علت پرطرفدار بودن Happy  Clinique است .
دو عدد ۵۰$</t>
        </is>
      </c>
      <c r="D159" s="18" t="n">
        <v>50</v>
      </c>
      <c r="E159" s="18" t="n"/>
      <c r="F159" s="18" t="n"/>
      <c r="G159" s="18" t="inlineStr">
        <is>
          <t>کانادا</t>
        </is>
      </c>
      <c r="H159" s="18" t="inlineStr">
        <is>
          <t>عطر و ادکلن</t>
        </is>
      </c>
      <c r="I159" s="18" t="inlineStr">
        <is>
          <t>photo_1853@06-06-2026_20-50-26.jpg</t>
        </is>
      </c>
      <c r="J159" s="18" t="n"/>
      <c r="K159" s="18" t="n"/>
      <c r="L159" s="18" t="n"/>
      <c r="M159" s="18" t="n"/>
      <c r="N159" s="18">
        <f>D159*تنظیمات!$B$3*تنظیمات!$B$5+(F159/1000)*تنظیمات!$B$4</f>
        <v/>
      </c>
    </row>
    <row r="160" ht="72" customHeight="1">
      <c r="A160" s="18" t="inlineStr">
        <is>
          <t>IMP-0156</t>
        </is>
      </c>
      <c r="B160" s="18" t="inlineStr">
        <is>
          <t>دو عدد 100 میل</t>
        </is>
      </c>
      <c r="C160" s="18" t="inlineStr">
        <is>
          <t>دو عدد ۱۰۰ میل
۷۰$
عطر Aromatics in Black از برند کلینیک:
📌 رایحه: گرم، شیرین و مرموز (ترکیبی از آلو سیاه، گل یاسمن و صمغِ مرّ).
📌طبع و فصل: گرم و شیک؛ کاملاً مناسب پاییز، زمستان و شب‌های خنک.
📌 ماندگاری و پخش بو: ماندگاری بالا و پخش بوی خوب و مشخص.
📌 حس عطر: باوقار، لوکس و کاریزماتیک. اصلاً دم‌دستی نیست و بیشتر مناسب مهمانی‌ها، قرارهای خاص و استایل‌های شیک است.
در یک جمله: یک عطر زنانه، تاریک، جذاب و مدرن برای کسانی که از عطرهای گلیِ ساده خسته شده‌اند و به‌دنبال یک رایحه خاص و عمیق می‌گردند.</t>
        </is>
      </c>
      <c r="D160" s="18" t="n">
        <v>70</v>
      </c>
      <c r="E160" s="18" t="inlineStr">
        <is>
          <t>100ml</t>
        </is>
      </c>
      <c r="F160" s="18" t="n"/>
      <c r="G160" s="18" t="inlineStr">
        <is>
          <t>کانادا</t>
        </is>
      </c>
      <c r="H160" s="18" t="inlineStr">
        <is>
          <t>عطر و ادکلن</t>
        </is>
      </c>
      <c r="I160" s="18" t="inlineStr">
        <is>
          <t>photo_1854@06-06-2026_20-52-39.jpg</t>
        </is>
      </c>
      <c r="J160" s="18" t="n"/>
      <c r="K160" s="18" t="n"/>
      <c r="L160" s="18" t="n"/>
      <c r="M160" s="18" t="n"/>
      <c r="N160" s="18">
        <f>D160*تنظیمات!$B$3*تنظیمات!$B$5+(F160/1000)*تنظیمات!$B$4</f>
        <v/>
      </c>
    </row>
    <row r="161" ht="72" customHeight="1">
      <c r="A161" s="18" t="inlineStr">
        <is>
          <t>IMP-0157</t>
        </is>
      </c>
      <c r="B161" s="18" t="inlineStr">
        <is>
          <t>عطر Beautiful</t>
        </is>
      </c>
      <c r="C161" s="18" t="inlineStr">
        <is>
          <t>عطر Beautiful
این عطر یک رایحه کلاسیک و بسیار زنانه دارد؛ گلی، لطیف و رمانتیک. به آن لقب «عطر هزار گل» داده‌اند چون ترکیبی از چندین گل مختلف در آن استفاده شده است.
🌸 نت‌های اولیه:
رز
ماندارین
سوسن
گل مریم
همیشه‌بهار
🌸 نت‌های میانی:
شکوفه پرتقال
یاس
یلانگ یلانگ
موگه (گل برف/زنبق دره)
🌸 نت‌های پایه:
چوب صندل
وتیور
کهربا (Amber)
حس کلی بو:
💐 خیلی گلی
💖 رمانتیک و شیک
✨ کلاسیک و زنانه
🌙 مناسب مهمانی، مجالس و استفاده رسمی
34.5$</t>
        </is>
      </c>
      <c r="D161" s="18" t="n">
        <v>34.5</v>
      </c>
      <c r="E161" s="18" t="n"/>
      <c r="F161" s="18" t="n"/>
      <c r="G161" s="18" t="inlineStr">
        <is>
          <t>کانادا</t>
        </is>
      </c>
      <c r="H161" s="18" t="inlineStr">
        <is>
          <t>عطر و ادکلن</t>
        </is>
      </c>
      <c r="I161" s="18" t="inlineStr">
        <is>
          <t>photo_1856@06-06-2026_20-53-43.jpg</t>
        </is>
      </c>
      <c r="J161" s="18" t="n"/>
      <c r="K161" s="18" t="n"/>
      <c r="L161" s="18" t="n"/>
      <c r="M161" s="18" t="n"/>
      <c r="N161" s="18">
        <f>D161*تنظیمات!$B$3*تنظیمات!$B$5+(F161/1000)*تنظیمات!$B$4</f>
        <v/>
      </c>
    </row>
    <row r="162" ht="72" customHeight="1">
      <c r="A162" s="18" t="inlineStr">
        <is>
          <t>IMP-0158</t>
        </is>
      </c>
      <c r="B162" s="18" t="inlineStr">
        <is>
          <t>این هم عطر Estée Lauder Beautiful Magnoli</t>
        </is>
      </c>
      <c r="C162" s="18" t="inlineStr">
        <is>
          <t>این هم عطر Estée Lauder Beautiful Magnoli  🌸
نت‌های اصلی:
🌸 نت‌های آغازین:
گلبرگ مگنولیا
ماته (چای گیاهی)
نیلوفر آبی
🌸 نت‌های میانی:
روغن مگنولیا
گاردنیا
رز
🌸 نت‌های پایه:
چوب سدر
چوب صندل
مُشک روشن
حس بوی عطر به زبان ساده:
✨ تمیز و لطیف
✨ گلی و زنانه
✨ رمانتیک و شیک
✨ سبک‌تر و مدرن‌تر از Beautiful کلاسیک
اگر Beautiful قدیمی حس «دسته‌گل سنگین و مجلسی» داشت، Beautiful Magnolia بیشتر حس:
«گل‌های سفید تازه + کمی طراوت آبی + چوب نرم» 🌷
مناسب:
استفاده روزانه
بهار و تابستان
قرار و محیط کار
76$</t>
        </is>
      </c>
      <c r="D162" s="18" t="n">
        <v>76</v>
      </c>
      <c r="E162" s="18" t="n"/>
      <c r="F162" s="18" t="n"/>
      <c r="G162" s="18" t="inlineStr">
        <is>
          <t>کانادا</t>
        </is>
      </c>
      <c r="H162" s="18" t="inlineStr">
        <is>
          <t>عطر و ادکلن</t>
        </is>
      </c>
      <c r="I162" s="18" t="inlineStr">
        <is>
          <t>photo_1858@06-06-2026_21-06-15.jpg</t>
        </is>
      </c>
      <c r="J162" s="18" t="n"/>
      <c r="K162" s="18" t="n"/>
      <c r="L162" s="18" t="n"/>
      <c r="M162" s="18" t="n"/>
      <c r="N162" s="18">
        <f>D162*تنظیمات!$B$3*تنظیمات!$B$5+(F162/1000)*تنظیمات!$B$4</f>
        <v/>
      </c>
    </row>
    <row r="163" ht="72" customHeight="1">
      <c r="A163" s="18" t="inlineStr">
        <is>
          <t>IMP-0159</t>
        </is>
      </c>
      <c r="B163" s="18" t="inlineStr">
        <is>
          <t>عطر Clinique Happy 🍊🌼</t>
        </is>
      </c>
      <c r="C163" s="18" t="inlineStr">
        <is>
          <t>عطر Clinique Happy 🍊🌼
این عطر حس «شاد، تمیز و پرانرژی» دارد؛ یکی از معروف‌ترین عطرهای مرکباتی–گلی است. رایحه‌اش سبک، تازه و روزمره است و بیشتر حس آفتاب و انرژی مثبت می‌دهد.
🌸 نت‌های آغازین:
گریپ‌فروت قرمز
ماندارین
ترنج (برگاموت)
🌸 نت‌های میانی:
مگنولیا
ارکیده
سوسن / گل‌های سفید
🌸 نت‌های پایه:
مشک
میموزا
آکورد چوبی ملایم
حس کلی بو:
✨ تمیز و باطراوت
🍊 مرکباتی و شاد
🌼 گلیِ سبک
☀️ مناسب بهار، تابستان و استفاده روزانه
اگر بخواهم خیلی ساده توصیفش کنم:
«آب پرتقال تازه + گل‌های سفید + حس دوش تازه» 🌸🍊
دو ست
۴۹$</t>
        </is>
      </c>
      <c r="D163" s="18" t="n">
        <v>49</v>
      </c>
      <c r="E163" s="18" t="n"/>
      <c r="F163" s="18" t="n"/>
      <c r="G163" s="18" t="inlineStr">
        <is>
          <t>کانادا</t>
        </is>
      </c>
      <c r="H163" s="18" t="inlineStr">
        <is>
          <t>عطر و ادکلن</t>
        </is>
      </c>
      <c r="I163" s="18" t="inlineStr">
        <is>
          <t>photo_1859@06-06-2026_21-06-15.jpg</t>
        </is>
      </c>
      <c r="J163" s="18" t="n"/>
      <c r="K163" s="18" t="n"/>
      <c r="L163" s="18" t="n"/>
      <c r="M163" s="18" t="n"/>
      <c r="N163" s="18">
        <f>D163*تنظیمات!$B$3*تنظیمات!$B$5+(F163/1000)*تنظیمات!$B$4</f>
        <v/>
      </c>
    </row>
    <row r="164" ht="72" customHeight="1">
      <c r="A164" s="18" t="inlineStr">
        <is>
          <t>IMP-0160</t>
        </is>
      </c>
      <c r="B164" s="18" t="inlineStr">
        <is>
          <t>tubereuse nue</t>
        </is>
      </c>
      <c r="C164" s="18" t="inlineStr">
        <is>
          <t>tubereuse nue
ماندگاری و پخش بو بالا
مناسب برای آقایان و بانوان
⚜اسانس اولیه یاس، فلفل ، گل سوسن
⚜اسانس میانی لوبان ، گل مریم ، کاکائو ، بوته وحشی جاوی
⚜اسانس پایه دانه تونکا ، مشک ، جیر ، ععو
محصول سال 2021 می باشد و در گروه بویایی شرقی گلی که عطرهای بسیار جذابی را در خود جای داده است، قرار دارد. از اسانس های بکار برده شده در این عطر می توان به یاس، فلفل ، گل سوسن، لوبان ، گل مریم ، کاکائو ، بوته وحشی جاوی ، دانه تونکا ، مشک ، جیر ، عود اشاره کرد.
50ml  156$
(قیمت ۳۰ میل این کار توی سفورا ۳۳۰ دلاره)</t>
        </is>
      </c>
      <c r="D164" s="18" t="n">
        <v>156</v>
      </c>
      <c r="E164" s="18" t="inlineStr">
        <is>
          <t>50ml</t>
        </is>
      </c>
      <c r="F164" s="18" t="n"/>
      <c r="G164" s="18" t="inlineStr">
        <is>
          <t>کانادا</t>
        </is>
      </c>
      <c r="H164" s="18" t="inlineStr">
        <is>
          <t>عطر و ادکلن</t>
        </is>
      </c>
      <c r="I164" s="18" t="inlineStr">
        <is>
          <t>photo_1875@08-06-2026_06-46-35.jpg</t>
        </is>
      </c>
      <c r="J164" s="18" t="n"/>
      <c r="K164" s="18" t="n"/>
      <c r="L164" s="18" t="n"/>
      <c r="M164" s="18" t="n"/>
      <c r="N164" s="18">
        <f>D164*تنظیمات!$B$3*تنظیمات!$B$5+(F164/1000)*تنظیمات!$B$4</f>
        <v/>
      </c>
    </row>
    <row r="165" ht="72" customHeight="1">
      <c r="A165" s="18" t="inlineStr">
        <is>
          <t>IMP-0161</t>
        </is>
      </c>
      <c r="B165" s="18" t="inlineStr">
        <is>
          <t>عطر Bronze Goddess</t>
        </is>
      </c>
      <c r="C165" s="18" t="inlineStr">
        <is>
          <t>عطر Bronze Goddess
🥥 نارگیل نمکی (نه خیلی شیرین)
🌼 یلانگ یلانگ و یاس
🌶️ کمی فلفل و ادویه ملایم
🌙 چوب گرم، تونکا و آمبروکس
توصیف ساده:
«بوی ساحل لوکس در شب؛ نارگیل گرم + گل‌های سفید + کمی حس مرموز و جذاب» ✨
برای استفاده:
مناسب: شب، مهمانی، قرار
فصل: بهار، تابستان شب‌ها، پاییز ملایم
شیرینی: متوسط
ماندگاری:  خوب
۵۸$
۱۰۰ میل</t>
        </is>
      </c>
      <c r="D165" s="18" t="n">
        <v>58</v>
      </c>
      <c r="E165" s="18" t="inlineStr">
        <is>
          <t>100ml</t>
        </is>
      </c>
      <c r="F165" s="18" t="n"/>
      <c r="G165" s="18" t="inlineStr">
        <is>
          <t>کانادا</t>
        </is>
      </c>
      <c r="H165" s="18" t="inlineStr">
        <is>
          <t>عطر و ادکلن</t>
        </is>
      </c>
      <c r="I165" s="18" t="inlineStr">
        <is>
          <t>photo_1877@11-06-2026_18-57-34.jpg</t>
        </is>
      </c>
      <c r="J165" s="18" t="n"/>
      <c r="K165" s="18" t="n"/>
      <c r="L165" s="18" t="n"/>
      <c r="M165" s="18" t="n"/>
      <c r="N165" s="18">
        <f>D165*تنظیمات!$B$3*تنظیمات!$B$5+(F165/1000)*تنظیمات!$B$4</f>
        <v/>
      </c>
    </row>
    <row r="166" ht="72" customHeight="1">
      <c r="A166" s="18" t="inlineStr">
        <is>
          <t>IMP-0162</t>
        </is>
      </c>
      <c r="B166" s="18" t="inlineStr">
        <is>
          <t>اسانس اولیه: ترنج ، پرتقال، اسطوخودوس ، آلدهید ، نرگس ، هلو ، ادویه جات معطر</t>
        </is>
      </c>
      <c r="C166" s="18" t="inlineStr">
        <is>
          <t>اسانس اولیه: ترنج ، پرتقال، اسطوخودوس ، آلدهید ، نرگس ، هلو ، ادویه جات معطر
اسانس میانی: رز ، یاس، گل برف ، دارچین ، ادویه گل میخک ، گل یلانگ ، ارکیده ، ادویه جات معطر، برگ و جوانه انگور فرنگی
اسانس پایه: مشک ، کهربا، وانیل ، نعناع هندی ، خزه درخت بلوط ، خس خس ، روایح دودی، بلسان کلمبیایی ، بلسان پرویی
۳۳.۵$</t>
        </is>
      </c>
      <c r="D166" s="18" t="n">
        <v>33.5</v>
      </c>
      <c r="E166" s="18" t="n"/>
      <c r="F166" s="18" t="n"/>
      <c r="G166" s="18" t="inlineStr">
        <is>
          <t>کانادا</t>
        </is>
      </c>
      <c r="H166" s="18" t="inlineStr">
        <is>
          <t>عطر و ادکلن</t>
        </is>
      </c>
      <c r="I166" s="18" t="inlineStr">
        <is>
          <t>photo_1878@11-06-2026_19-02-23.jpg</t>
        </is>
      </c>
      <c r="J166" s="18" t="n"/>
      <c r="K166" s="18" t="n"/>
      <c r="L166" s="18" t="n"/>
      <c r="M166" s="18" t="n"/>
      <c r="N166" s="18">
        <f>D166*تنظیمات!$B$3*تنظیمات!$B$5+(F166/1000)*تنظیمات!$B$4</f>
        <v/>
      </c>
    </row>
    <row r="167" ht="72" customHeight="1">
      <c r="A167" s="18" t="inlineStr">
        <is>
          <t>IMP-0163</t>
        </is>
      </c>
      <c r="B167" s="18" t="inlineStr">
        <is>
          <t>اسانس اولیه: یاس، مگنولیا ، گل سوسن</t>
        </is>
      </c>
      <c r="C167" s="18" t="inlineStr">
        <is>
          <t>اسانس اولیه: یاس، مگنولیا ، گل سوسن
اسانس میانی: کهربا، گل یلانگ ، روایح چوبی
اسانس پایه :نارنگی ماندارین، چوب صندل سفید ، عسل ، فلفل
۵۳$
۵۰میل</t>
        </is>
      </c>
      <c r="D167" s="18" t="n">
        <v>53</v>
      </c>
      <c r="E167" s="18" t="inlineStr">
        <is>
          <t>50ml</t>
        </is>
      </c>
      <c r="F167" s="18" t="n"/>
      <c r="G167" s="18" t="inlineStr">
        <is>
          <t>کانادا</t>
        </is>
      </c>
      <c r="H167" s="18" t="inlineStr">
        <is>
          <t>عطر و ادکلن</t>
        </is>
      </c>
      <c r="I167" s="18" t="inlineStr">
        <is>
          <t>photo_1879@11-06-2026_19-04-14.jpg</t>
        </is>
      </c>
      <c r="J167" s="18" t="n"/>
      <c r="K167" s="18" t="n"/>
      <c r="L167" s="18" t="n"/>
      <c r="M167" s="18" t="n"/>
      <c r="N167" s="18">
        <f>D167*تنظیمات!$B$3*تنظیمات!$B$5+(F167/1000)*تنظیمات!$B$4</f>
        <v/>
      </c>
    </row>
    <row r="168" ht="72" customHeight="1">
      <c r="A168" s="18" t="inlineStr">
        <is>
          <t>IMP-0164</t>
        </is>
      </c>
      <c r="B168" s="18" t="inlineStr">
        <is>
          <t>عطر vanilla sex</t>
        </is>
      </c>
      <c r="C168" s="18" t="inlineStr">
        <is>
          <t>عطر vanilla sex
اسانس اولیه: بادام
اسانس میانی: وانیل ، روایح گلی
اسانس پایه : دانه تونکا ، وانیل ، چوب صندل سفید
30ml
167$</t>
        </is>
      </c>
      <c r="D168" s="18" t="n">
        <v>167</v>
      </c>
      <c r="E168" s="18" t="inlineStr">
        <is>
          <t>30ml</t>
        </is>
      </c>
      <c r="F168" s="18" t="n"/>
      <c r="G168" s="18" t="inlineStr">
        <is>
          <t>کانادا</t>
        </is>
      </c>
      <c r="H168" s="18" t="inlineStr">
        <is>
          <t>عطر و ادکلن</t>
        </is>
      </c>
      <c r="I168" s="18" t="inlineStr">
        <is>
          <t>photo_1881@11-06-2026_21-48-41.jpg</t>
        </is>
      </c>
      <c r="J168" s="18" t="n"/>
      <c r="K168" s="18" t="n"/>
      <c r="L168" s="18" t="n"/>
      <c r="M168" s="18" t="n"/>
      <c r="N168" s="18">
        <f>D168*تنظیمات!$B$3*تنظیمات!$B$5+(F168/1000)*تنظیمات!$B$4</f>
        <v/>
      </c>
    </row>
    <row r="169" ht="72" customHeight="1">
      <c r="A169" s="18" t="inlineStr">
        <is>
          <t>IMP-0165</t>
        </is>
      </c>
      <c r="B169" s="18" t="inlineStr">
        <is>
          <t>عطر تام فورد فیگه اروتیک، عطری با رایحه‌ی چایپر میوه‌ای برای زنان و مردان است. عطر Figue Érotique در سال 2025 به بازار عرضه شد.</t>
        </is>
      </c>
      <c r="C169" s="18" t="inlineStr">
        <is>
          <t>عطر تام فورد فیگه اروتیک، عطری با رایحه‌ی چایپر میوه‌ای برای زنان و مردان است. عطر Figue Érotique در سال 2025 به بازار عرضه شد.
نت های اولیه: ترنج، برگ انجیر، پرتقال، فلفل صورتی
نت های میانی: انجیر، یلانگ یلانگ، نمک
نت های پایه: شکر قهوه ای، خس خس، نعنا هندی
50ml
260$</t>
        </is>
      </c>
      <c r="D169" s="18" t="n">
        <v>260</v>
      </c>
      <c r="E169" s="18" t="inlineStr">
        <is>
          <t>50ml</t>
        </is>
      </c>
      <c r="F169" s="18" t="n"/>
      <c r="G169" s="18" t="inlineStr">
        <is>
          <t>کانادا</t>
        </is>
      </c>
      <c r="H169" s="18" t="inlineStr">
        <is>
          <t>عطر و ادکلن</t>
        </is>
      </c>
      <c r="I169" s="18" t="inlineStr">
        <is>
          <t>photo_1882@11-06-2026_21-49-14.jpg</t>
        </is>
      </c>
      <c r="J169" s="18" t="n"/>
      <c r="K169" s="18" t="n"/>
      <c r="L169" s="18" t="n"/>
      <c r="M169" s="18" t="n"/>
      <c r="N169" s="18">
        <f>D169*تنظیمات!$B$3*تنظیمات!$B$5+(F169/1000)*تنظیمات!$B$4</f>
        <v/>
      </c>
    </row>
    <row r="170" ht="72" customHeight="1">
      <c r="A170" s="18" t="inlineStr">
        <is>
          <t>IMP-0166</t>
        </is>
      </c>
      <c r="B170" s="18" t="inlineStr">
        <is>
          <t>دو عدد 55$</t>
        </is>
      </c>
      <c r="C170" s="18" t="inlineStr">
        <is>
          <t>دو عدد ۵۵$
۵۰ میل</t>
        </is>
      </c>
      <c r="D170" s="18" t="n">
        <v>55</v>
      </c>
      <c r="E170" s="18" t="inlineStr">
        <is>
          <t>50ml</t>
        </is>
      </c>
      <c r="F170" s="18" t="n"/>
      <c r="G170" s="18" t="inlineStr">
        <is>
          <t>کانادا</t>
        </is>
      </c>
      <c r="H170" s="18" t="inlineStr">
        <is>
          <t>عطر و ادکلن</t>
        </is>
      </c>
      <c r="I170" s="18" t="inlineStr">
        <is>
          <t>photo_1892@14-06-2026_17-44-07.jpg</t>
        </is>
      </c>
      <c r="J170" s="18" t="n"/>
      <c r="K170" s="18" t="n"/>
      <c r="L170" s="18" t="n"/>
      <c r="M170" s="18" t="n"/>
      <c r="N170" s="18">
        <f>D170*تنظیمات!$B$3*تنظیمات!$B$5+(F170/1000)*تنظیمات!$B$4</f>
        <v/>
      </c>
    </row>
    <row r="171" ht="72" customHeight="1">
      <c r="A171" s="18" t="inlineStr">
        <is>
          <t>IMP-0167</t>
        </is>
      </c>
      <c r="B171" s="18" t="inlineStr">
        <is>
          <t>دو عدد عطر 15 میل کلینیک</t>
        </is>
      </c>
      <c r="C171" s="18" t="inlineStr">
        <is>
          <t>دو عدد عطر ۱۵ میل کلینیک
۳۰$
اینا تکی تو سایت ۴۵$ هستن
اینجا ۲۲.۵(
ستش ۳۰$</t>
        </is>
      </c>
      <c r="D171" s="18" t="n">
        <v>30</v>
      </c>
      <c r="E171" s="18" t="inlineStr">
        <is>
          <t>15ml</t>
        </is>
      </c>
      <c r="F171" s="18" t="n"/>
      <c r="G171" s="18" t="inlineStr">
        <is>
          <t>کانادا</t>
        </is>
      </c>
      <c r="H171" s="18" t="inlineStr">
        <is>
          <t>عطر و ادکلن</t>
        </is>
      </c>
      <c r="I171" s="18" t="inlineStr">
        <is>
          <t>photo_1893@14-06-2026_17-44-40.jpg</t>
        </is>
      </c>
      <c r="J171" s="18" t="n"/>
      <c r="K171" s="18" t="n"/>
      <c r="L171" s="18" t="n"/>
      <c r="M171" s="18" t="n"/>
      <c r="N171" s="18">
        <f>D171*تنظیمات!$B$3*تنظیمات!$B$5+(F171/1000)*تنظیمات!$B$4</f>
        <v/>
      </c>
    </row>
    <row r="172" ht="72" customHeight="1">
      <c r="A172" s="18" t="inlineStr">
        <is>
          <t>IMP-0168</t>
        </is>
      </c>
      <c r="B172" s="18" t="inlineStr">
        <is>
          <t>دو عدد 40$</t>
        </is>
      </c>
      <c r="C172" s="18" t="inlineStr">
        <is>
          <t>۵۰ میل
دو عدد ۴۰$</t>
        </is>
      </c>
      <c r="D172" s="18" t="n">
        <v>40</v>
      </c>
      <c r="E172" s="18" t="inlineStr">
        <is>
          <t>50ml</t>
        </is>
      </c>
      <c r="F172" s="18" t="n"/>
      <c r="G172" s="18" t="inlineStr">
        <is>
          <t>کانادا</t>
        </is>
      </c>
      <c r="H172" s="18" t="inlineStr">
        <is>
          <t>عطر و ادکلن</t>
        </is>
      </c>
      <c r="I172" s="18" t="inlineStr">
        <is>
          <t>photo_1895@14-06-2026_17-45-11.jpg</t>
        </is>
      </c>
      <c r="J172" s="18" t="n"/>
      <c r="K172" s="18" t="n"/>
      <c r="L172" s="18" t="n"/>
      <c r="M172" s="18" t="n"/>
      <c r="N172" s="18">
        <f>D172*تنظیمات!$B$3*تنظیمات!$B$5+(F172/1000)*تنظیمات!$B$4</f>
        <v/>
      </c>
    </row>
    <row r="173" ht="72" customHeight="1">
      <c r="A173" s="18" t="inlineStr">
        <is>
          <t>IMP-0169</t>
        </is>
      </c>
      <c r="B173" s="18" t="inlineStr">
        <is>
          <t>دو عدد عطر هپی</t>
        </is>
      </c>
      <c r="C173" s="18" t="inlineStr">
        <is>
          <t>دو عدد عطر هپی
مردانه
۱۰۰میل
۶۵$
🔸️نوع:مردانه
🔸️تولید از سال‌:1999
🔸️سبک:مرکباتی - معطر
🌸ترکیب نت‌ها:
🔸 نت‌های ابتدایی: نارنگی ماندارین، آب دریا ، ترکیبات سبز ، لیمو ترش سبز، مرکبات
🔸 نت‌های میانی: رز ، فریزیا ، یاس، گل برف
🔸 نت‌های پایه:
مشک ، سدر ، سرو ، چوب گایاک
📝توضیحات:
رایحه ای است فوق العاده جذاب . در ابتدای مصرف ، به خاطر وجود اسانس مرکبات ، سایر اسانسهای معطر و رایحة ناب دریا ، حسی سرشار از لذّت و شادابی به شما دست می دهد . بویی که در عمق این ادکلن به مشام می رسد عطر ملایم گل هاست که با مهربانی ما را به استشمام عطر خوش سدر جنگلی ، سرو ، عودالانبیا و مشک دعوت می کند . امروزه شادبودن ، بیش از داشتن پول و آسایش ، مورد توجه و پسند است و این دقیقاً علت پرطرفدار بودن Happy  Clinique است .</t>
        </is>
      </c>
      <c r="D173" s="18" t="n">
        <v>65</v>
      </c>
      <c r="E173" s="18" t="inlineStr">
        <is>
          <t>100ml</t>
        </is>
      </c>
      <c r="F173" s="18" t="n"/>
      <c r="G173" s="18" t="inlineStr">
        <is>
          <t>کانادا</t>
        </is>
      </c>
      <c r="H173" s="18" t="inlineStr">
        <is>
          <t>عطر و ادکلن</t>
        </is>
      </c>
      <c r="I173" s="18" t="inlineStr">
        <is>
          <t>photo_1896@14-06-2026_17-45-52.jpg</t>
        </is>
      </c>
      <c r="J173" s="18" t="n"/>
      <c r="K173" s="18" t="n"/>
      <c r="L173" s="18" t="n"/>
      <c r="M173" s="18" t="n"/>
      <c r="N173" s="18">
        <f>D173*تنظیمات!$B$3*تنظیمات!$B$5+(F173/1000)*تنظیمات!$B$4</f>
        <v/>
      </c>
    </row>
    <row r="174" ht="72" customHeight="1">
      <c r="A174" s="18" t="inlineStr">
        <is>
          <t>IMP-0170</t>
        </is>
      </c>
      <c r="B174" s="18" t="inlineStr">
        <is>
          <t>ترکیبات عطر استی لودر پلژر اینتنس زنانه</t>
        </is>
      </c>
      <c r="C174" s="18" t="inlineStr">
        <is>
          <t>72$
🌸 ترکیبات عطر استی لودر پلژر اینتنس زنانه:
رایحه اولیه: برگ مو- انگور سیاه- یلانگ یلانگ- گل صدتومنی- سوسن سبز
رایحه میانی: رز مراکشی- گل تیاره- یاس- گل برف
رایحه اصلی: بنزوئین- استیراکس- وانیل- چوب درخت افرا
نقاط قوت:
رایحه بسیار شاداب و باطراوت
ماندگاری و پخش‌بوی بالا
باکیفیت و نفیس</t>
        </is>
      </c>
      <c r="D174" s="18" t="n">
        <v>72</v>
      </c>
      <c r="E174" s="18" t="n"/>
      <c r="F174" s="18" t="n"/>
      <c r="G174" s="18" t="inlineStr">
        <is>
          <t>کانادا</t>
        </is>
      </c>
      <c r="H174" s="18" t="inlineStr">
        <is>
          <t>عطر و ادکلن</t>
        </is>
      </c>
      <c r="I174" s="18" t="inlineStr">
        <is>
          <t>photo_1897@14-06-2026_17-56-41.jpg</t>
        </is>
      </c>
      <c r="J174" s="18" t="n"/>
      <c r="K174" s="18" t="n"/>
      <c r="L174" s="18" t="n"/>
      <c r="M174" s="18" t="n"/>
      <c r="N174" s="18">
        <f>D174*تنظیمات!$B$3*تنظیمات!$B$5+(F174/1000)*تنظیمات!$B$4</f>
        <v/>
      </c>
    </row>
    <row r="175" ht="72" customHeight="1">
      <c r="A175" s="18" t="inlineStr">
        <is>
          <t>IMP-0171</t>
        </is>
      </c>
      <c r="B175" s="18" t="inlineStr">
        <is>
          <t>عطر استخراج‌شده</t>
        </is>
      </c>
      <c r="C175" s="18" t="inlineStr">
        <is>
          <t>39.99$
50ml</t>
        </is>
      </c>
      <c r="D175" s="18" t="n">
        <v>39.99</v>
      </c>
      <c r="E175" s="18" t="inlineStr">
        <is>
          <t>50ml</t>
        </is>
      </c>
      <c r="F175" s="18" t="n"/>
      <c r="G175" s="18" t="inlineStr">
        <is>
          <t>کانادا</t>
        </is>
      </c>
      <c r="H175" s="18" t="inlineStr">
        <is>
          <t>عطر و ادکلن</t>
        </is>
      </c>
      <c r="I175" s="18" t="inlineStr">
        <is>
          <t>photo_1906@17-06-2026_00-37-19.jpg</t>
        </is>
      </c>
      <c r="J175" s="18" t="n"/>
      <c r="K175" s="18" t="n"/>
      <c r="L175" s="18" t="n"/>
      <c r="M175" s="18" t="n"/>
      <c r="N175" s="18">
        <f>D175*تنظیمات!$B$3*تنظیمات!$B$5+(F175/1000)*تنظیمات!$B$4</f>
        <v/>
      </c>
    </row>
    <row r="176" ht="72" customHeight="1">
      <c r="A176" s="18" t="inlineStr">
        <is>
          <t>IMP-0172</t>
        </is>
      </c>
      <c r="B176" s="18" t="inlineStr">
        <is>
          <t>3اسپری 75ml</t>
        </is>
      </c>
      <c r="C176" s="18" t="inlineStr">
        <is>
          <t>12$
3اسپری 75ml</t>
        </is>
      </c>
      <c r="D176" s="18" t="n">
        <v>12</v>
      </c>
      <c r="E176" s="18" t="inlineStr">
        <is>
          <t>75ml</t>
        </is>
      </c>
      <c r="F176" s="18" t="n"/>
      <c r="G176" s="18" t="inlineStr">
        <is>
          <t>کانادا</t>
        </is>
      </c>
      <c r="H176" s="18" t="inlineStr">
        <is>
          <t>عطر و ادکلن</t>
        </is>
      </c>
      <c r="I176" s="18" t="inlineStr">
        <is>
          <t>photo_1907@17-06-2026_00-37-45.jpg</t>
        </is>
      </c>
      <c r="J176" s="18" t="n"/>
      <c r="K176" s="18" t="n"/>
      <c r="L176" s="18" t="n"/>
      <c r="M176" s="18" t="n"/>
      <c r="N176" s="18">
        <f>D176*تنظیمات!$B$3*تنظیمات!$B$5+(F176/1000)*تنظیمات!$B$4</f>
        <v/>
      </c>
    </row>
    <row r="177" ht="72" customHeight="1">
      <c r="A177" s="18" t="inlineStr">
        <is>
          <t>IMP-0173</t>
        </is>
      </c>
      <c r="B177" s="18" t="inlineStr">
        <is>
          <t>Victoria Secret Shimmer Fragrance Mist</t>
        </is>
      </c>
      <c r="C177" s="18" t="inlineStr">
        <is>
          <t>Victoria Secret Shimmer Fragrance Mist
بادی میست شاین دار ویکتوریا سکرت 😍
⚜vanilla Playa 75ml   4$
وانیل گرم،نارگیل و نت های استوایی با حس شیرین و آرامش‌بخش بخش
📌سامه✅
📌
@Fa_ch23
✅
📌
@BetisaZamani
✅
📌
@Asa_srk
✅
📌
@diba_prm
✅
⚜Guava Fiesta  75ml   4$
رایحه میوه ای و شاد از گواوا، آناناس و گل های سفید
📌
@f343jj
✅
📌
@Nik0sadra
✅
📌
@jorabchi_n
✅
📌
@Asa_srk
✅
📌
@diba_prm
✅
⚜coconut Sol 75ml  4$
ترکیب خنک و ساحلی نارگیل، نسیم دریا و چوب های سبک
📌
@sepideh_modabberi
✅
📌nch ✅
📌سما ✅
📌
@Asa_srk
✅
📌
@diba_prm
✅</t>
        </is>
      </c>
      <c r="D177" s="18" t="n">
        <v>4</v>
      </c>
      <c r="E177" s="18" t="inlineStr">
        <is>
          <t>75ml</t>
        </is>
      </c>
      <c r="F177" s="18" t="n"/>
      <c r="G177" s="18" t="inlineStr">
        <is>
          <t>کانادا</t>
        </is>
      </c>
      <c r="H177" s="18" t="inlineStr">
        <is>
          <t>عطر و ادکلن</t>
        </is>
      </c>
      <c r="I177" s="18" t="inlineStr">
        <is>
          <t>photo_1911@17-06-2026_01-24-18.jpg</t>
        </is>
      </c>
      <c r="J177" s="18" t="n"/>
      <c r="K177" s="18" t="n"/>
      <c r="L177" s="18" t="n"/>
      <c r="M177" s="18" t="n"/>
      <c r="N177" s="18">
        <f>D177*تنظیمات!$B$3*تنظیمات!$B$5+(F177/1000)*تنظیمات!$B$4</f>
        <v/>
      </c>
    </row>
    <row r="178" ht="72" customHeight="1">
      <c r="A178" s="18" t="inlineStr">
        <is>
          <t>IMP-0174</t>
        </is>
      </c>
      <c r="B178" s="18" t="inlineStr">
        <is>
          <t>قیمت اصلی:175$</t>
        </is>
      </c>
      <c r="C178" s="18" t="inlineStr">
        <is>
          <t>قیمت اصلی:175$
با تخفیف:87.5$😍</t>
        </is>
      </c>
      <c r="D178" s="18" t="n">
        <v>175</v>
      </c>
      <c r="E178" s="18" t="n"/>
      <c r="F178" s="18" t="n"/>
      <c r="G178" s="18" t="inlineStr">
        <is>
          <t>کانادا</t>
        </is>
      </c>
      <c r="H178" s="18" t="inlineStr">
        <is>
          <t>عطر و ادکلن</t>
        </is>
      </c>
      <c r="I178" s="18" t="inlineStr">
        <is>
          <t>photo_1912@19-06-2026_19-43-57.jpg</t>
        </is>
      </c>
      <c r="J178" s="18" t="n"/>
      <c r="K178" s="18" t="n"/>
      <c r="L178" s="18" t="n"/>
      <c r="M178" s="18" t="n"/>
      <c r="N178" s="18">
        <f>D178*تنظیمات!$B$3*تنظیمات!$B$5+(F178/1000)*تنظیمات!$B$4</f>
        <v/>
      </c>
    </row>
    <row r="179" ht="72" customHeight="1">
      <c r="A179" s="18" t="inlineStr">
        <is>
          <t>IMP-0175</t>
        </is>
      </c>
      <c r="B179" s="18" t="inlineStr">
        <is>
          <t>قیمت اصلی:185$</t>
        </is>
      </c>
      <c r="C179" s="18" t="inlineStr">
        <is>
          <t>قیمت اصلی:185$
با تخفیف:111$😍</t>
        </is>
      </c>
      <c r="D179" s="18" t="n">
        <v>185</v>
      </c>
      <c r="E179" s="18" t="n"/>
      <c r="F179" s="18" t="n"/>
      <c r="G179" s="18" t="inlineStr">
        <is>
          <t>کانادا</t>
        </is>
      </c>
      <c r="H179" s="18" t="inlineStr">
        <is>
          <t>عطر و ادکلن</t>
        </is>
      </c>
      <c r="I179" s="18" t="inlineStr">
        <is>
          <t>photo_1913@19-06-2026_19-45-35.jpg</t>
        </is>
      </c>
      <c r="J179" s="18" t="n"/>
      <c r="K179" s="18" t="n"/>
      <c r="L179" s="18" t="n"/>
      <c r="M179" s="18" t="n"/>
      <c r="N179" s="18">
        <f>D179*تنظیمات!$B$3*تنظیمات!$B$5+(F179/1000)*تنظیمات!$B$4</f>
        <v/>
      </c>
    </row>
    <row r="180" ht="72" customHeight="1">
      <c r="A180" s="18" t="inlineStr">
        <is>
          <t>IMP-0176</t>
        </is>
      </c>
      <c r="B180" s="18" t="inlineStr">
        <is>
          <t>قیمت اصلی:215</t>
        </is>
      </c>
      <c r="C180" s="18" t="inlineStr">
        <is>
          <t>قیمت اصلی:215
با تخفیف : 129$😍
100ml+15ml</t>
        </is>
      </c>
      <c r="D180" s="18" t="n">
        <v>129</v>
      </c>
      <c r="E180" s="18" t="inlineStr">
        <is>
          <t>100ml</t>
        </is>
      </c>
      <c r="F180" s="18" t="n"/>
      <c r="G180" s="18" t="inlineStr">
        <is>
          <t>کانادا</t>
        </is>
      </c>
      <c r="H180" s="18" t="inlineStr">
        <is>
          <t>عطر و ادکلن</t>
        </is>
      </c>
      <c r="I180" s="18" t="inlineStr">
        <is>
          <t>photo_1914@19-06-2026_19-46-43.jpg</t>
        </is>
      </c>
      <c r="J180" s="18" t="n"/>
      <c r="K180" s="18" t="n"/>
      <c r="L180" s="18" t="n"/>
      <c r="M180" s="18" t="n"/>
      <c r="N180" s="18">
        <f>D180*تنظیمات!$B$3*تنظیمات!$B$5+(F180/1000)*تنظیمات!$B$4</f>
        <v/>
      </c>
    </row>
    <row r="181" ht="72" customHeight="1">
      <c r="A181" s="18" t="inlineStr">
        <is>
          <t>IMP-0177</t>
        </is>
      </c>
      <c r="B181" s="18" t="inlineStr">
        <is>
          <t>قیمت اصلی:170$</t>
        </is>
      </c>
      <c r="C181" s="18" t="inlineStr">
        <is>
          <t>قیمت اصلی:170$
با تخفیف:68$😍
125ml+40ml</t>
        </is>
      </c>
      <c r="D181" s="18" t="n">
        <v>170</v>
      </c>
      <c r="E181" s="18" t="inlineStr">
        <is>
          <t>125ml</t>
        </is>
      </c>
      <c r="F181" s="18" t="n"/>
      <c r="G181" s="18" t="inlineStr">
        <is>
          <t>کانادا</t>
        </is>
      </c>
      <c r="H181" s="18" t="inlineStr">
        <is>
          <t>عطر و ادکلن</t>
        </is>
      </c>
      <c r="I181" s="18" t="inlineStr">
        <is>
          <t>photo_1915@19-06-2026_19-48-29.jpg</t>
        </is>
      </c>
      <c r="J181" s="18" t="n"/>
      <c r="K181" s="18" t="n"/>
      <c r="L181" s="18" t="n"/>
      <c r="M181" s="18" t="n"/>
      <c r="N181" s="18">
        <f>D181*تنظیمات!$B$3*تنظیمات!$B$5+(F181/1000)*تنظیمات!$B$4</f>
        <v/>
      </c>
    </row>
    <row r="182" ht="72" customHeight="1">
      <c r="A182" s="18" t="inlineStr">
        <is>
          <t>IMP-0178</t>
        </is>
      </c>
      <c r="B182" s="18" t="inlineStr">
        <is>
          <t>قیمت اصلی:145$</t>
        </is>
      </c>
      <c r="C182" s="18" t="inlineStr">
        <is>
          <t>قیمت اصلی:145$
با تخفیف:87$😍</t>
        </is>
      </c>
      <c r="D182" s="18" t="n">
        <v>145</v>
      </c>
      <c r="E182" s="18" t="n"/>
      <c r="F182" s="18" t="n"/>
      <c r="G182" s="18" t="inlineStr">
        <is>
          <t>کانادا</t>
        </is>
      </c>
      <c r="H182" s="18" t="inlineStr">
        <is>
          <t>عطر و ادکلن</t>
        </is>
      </c>
      <c r="I182" s="18" t="inlineStr">
        <is>
          <t>photo_1916@19-06-2026_19-53-19.jpg</t>
        </is>
      </c>
      <c r="J182" s="18" t="n"/>
      <c r="K182" s="18" t="n"/>
      <c r="L182" s="18" t="n"/>
      <c r="M182" s="18" t="n"/>
      <c r="N182" s="18">
        <f>D182*تنظیمات!$B$3*تنظیمات!$B$5+(F182/1000)*تنظیمات!$B$4</f>
        <v/>
      </c>
    </row>
    <row r="183" ht="72" customHeight="1">
      <c r="A183" s="18" t="inlineStr">
        <is>
          <t>IMP-0179</t>
        </is>
      </c>
      <c r="B183" s="18" t="inlineStr">
        <is>
          <t>قیمت اصلی:230$</t>
        </is>
      </c>
      <c r="C183" s="18" t="inlineStr">
        <is>
          <t>قیمت اصلی:230$
با تخفیف:138$😍</t>
        </is>
      </c>
      <c r="D183" s="18" t="n">
        <v>230</v>
      </c>
      <c r="E183" s="18" t="n"/>
      <c r="F183" s="18" t="n"/>
      <c r="G183" s="18" t="inlineStr">
        <is>
          <t>کانادا</t>
        </is>
      </c>
      <c r="H183" s="18" t="inlineStr">
        <is>
          <t>عطر و ادکلن</t>
        </is>
      </c>
      <c r="I183" s="18" t="inlineStr">
        <is>
          <t>photo_1917@19-06-2026_19-54-29.jpg</t>
        </is>
      </c>
      <c r="J183" s="18" t="n"/>
      <c r="K183" s="18" t="n"/>
      <c r="L183" s="18" t="n"/>
      <c r="M183" s="18" t="n"/>
      <c r="N183" s="18">
        <f>D183*تنظیمات!$B$3*تنظیمات!$B$5+(F183/1000)*تنظیمات!$B$4</f>
        <v/>
      </c>
    </row>
    <row r="184" ht="72" customHeight="1">
      <c r="A184" s="18" t="inlineStr">
        <is>
          <t>IMP-0180</t>
        </is>
      </c>
      <c r="B184" s="18" t="inlineStr">
        <is>
          <t>قیمت اصلی:89$</t>
        </is>
      </c>
      <c r="C184" s="18" t="inlineStr">
        <is>
          <t>قیمت اصلی:89$
با تخفیف:53.4$😍</t>
        </is>
      </c>
      <c r="D184" s="18" t="n">
        <v>89</v>
      </c>
      <c r="E184" s="18" t="n"/>
      <c r="F184" s="18" t="n"/>
      <c r="G184" s="18" t="inlineStr">
        <is>
          <t>کانادا</t>
        </is>
      </c>
      <c r="H184" s="18" t="inlineStr">
        <is>
          <t>عطر و ادکلن</t>
        </is>
      </c>
      <c r="I184" s="18" t="inlineStr">
        <is>
          <t>photo_1918@19-06-2026_20-37-25.jpg</t>
        </is>
      </c>
      <c r="J184" s="18" t="n"/>
      <c r="K184" s="18" t="n"/>
      <c r="L184" s="18" t="n"/>
      <c r="M184" s="18" t="n"/>
      <c r="N184" s="18">
        <f>D184*تنظیمات!$B$3*تنظیمات!$B$5+(F184/1000)*تنظیمات!$B$4</f>
        <v/>
      </c>
    </row>
    <row r="185" ht="72" customHeight="1">
      <c r="A185" s="18" t="inlineStr">
        <is>
          <t>IMP-0181</t>
        </is>
      </c>
      <c r="B185" s="18" t="inlineStr">
        <is>
          <t>Acqua Georgio Armani</t>
        </is>
      </c>
      <c r="C185" s="18" t="inlineStr">
        <is>
          <t>Acqua Georgio Armani
150ml
64$
Refill</t>
        </is>
      </c>
      <c r="D185" s="18" t="n">
        <v>64</v>
      </c>
      <c r="E185" s="18" t="inlineStr">
        <is>
          <t>150ml</t>
        </is>
      </c>
      <c r="F185" s="18" t="n"/>
      <c r="G185" s="18" t="inlineStr">
        <is>
          <t>کانادا</t>
        </is>
      </c>
      <c r="H185" s="18" t="inlineStr">
        <is>
          <t>عطر و ادکلن</t>
        </is>
      </c>
      <c r="I185" s="18" t="inlineStr">
        <is>
          <t>photo_1919@19-06-2026_21-03-41.jpg</t>
        </is>
      </c>
      <c r="J185" s="18" t="n"/>
      <c r="K185" s="18" t="n"/>
      <c r="L185" s="18" t="n"/>
      <c r="M185" s="18" t="n"/>
      <c r="N185" s="18">
        <f>D185*تنظیمات!$B$3*تنظیمات!$B$5+(F185/1000)*تنظیمات!$B$4</f>
        <v/>
      </c>
    </row>
    <row r="186" ht="72" customHeight="1">
      <c r="A186" s="18" t="inlineStr">
        <is>
          <t>IMP-0182</t>
        </is>
      </c>
      <c r="B186" s="18" t="inlineStr">
        <is>
          <t>نت ها</t>
        </is>
      </c>
      <c r="C186" s="18" t="inlineStr">
        <is>
          <t>🌸نت ها:
📌نت آغازین:نت‌های روشن میوه‌ای (میوه‌های تابستانی و شاداب)
📌نت میانی: گل رز (Rose) و هارمونی لطیف گل‌های دیگر
📌نت پایانی: نت‌های ملایم شیرین و پایه‌ای با حس نرم
عطر ادکلن دیور ادیکت روزی گلو (Dior Addict Rosy Glow) یکی از جدیدترین عطرهای لوکس و متفاوت برند فرانسوی کریستین دیور است که در قالب مجموعه‌ی Dior Addict معرفی شده و با طراحی رایحه‌ای مدرن، لطیف و گل‌میوه‌ای تجربه‌ای روشن، شاداب و زنانه دارد. این عطر به‌عنوان بخشی از نسل جدید از نسخه‌های Dior Addict، با ترکیب نت‌های گل رز و میوه‌ی لیچی، حس جوانی، نشاط و لطافت را در رایحه‌اش به نمایش می‌گذارد، در حالی که ساختار کلی رایحه را با گرمی ملایم و پخش بویی بسیار خوشایند تکمیل می‌کند.
70$
فروخته شد ❌❌</t>
        </is>
      </c>
      <c r="D186" s="18" t="n">
        <v>70</v>
      </c>
      <c r="E186" s="18" t="n"/>
      <c r="F186" s="18" t="n"/>
      <c r="G186" s="18" t="inlineStr">
        <is>
          <t>کانادا</t>
        </is>
      </c>
      <c r="H186" s="18" t="inlineStr">
        <is>
          <t>عطر و ادکلن</t>
        </is>
      </c>
      <c r="I186" s="18" t="inlineStr">
        <is>
          <t>photo_1932@21-06-2026_21-30-57.jpg</t>
        </is>
      </c>
      <c r="J186" s="18" t="n"/>
      <c r="K186" s="18" t="n"/>
      <c r="L186" s="18" t="n"/>
      <c r="M186" s="18" t="n"/>
      <c r="N186" s="18">
        <f>D186*تنظیمات!$B$3*تنظیمات!$B$5+(F186/1000)*تنظیمات!$B$4</f>
        <v/>
      </c>
    </row>
    <row r="187" ht="72" customHeight="1">
      <c r="A187" s="18" t="inlineStr">
        <is>
          <t>IMP-0183</t>
        </is>
      </c>
      <c r="B187" s="18" t="inlineStr">
        <is>
          <t>نت ها</t>
        </is>
      </c>
      <c r="C187" s="18" t="inlineStr">
        <is>
          <t>🌸نت ها:
نت‌های اولیه: ترنج کالابریایی و مشک
نت‌های میانی: شمعدانی بوربون و شمعدانی رز
نت‌های پایه: بنزوئین، بلسان پرو و چوب گایاک
عطر و ادکلن پرادا پارادایم مردانه Prada Paradigme از گروه بویایی  چوبی شرقی برای آقایان است.  ادوپرفیوم پارادایم در سال 2025 توسط ماری سالاماگن، برونو جووانوویچ و نیکولاس بونویل خلق شده است.ادکلن پرادا پارادایم مردانه برای به چالش کشیدن هنجارهای مرسوم در عطرسازی طراحی شده است و با ترکیب عناصر کنجکاوی، نرمی و فردیت، دیدگاه جدیدی از مردانگی ارائه می‌دهد. پارادایم به عنوان همتای پارادوکس پرادا برای زنان عمل می‌کند و در بطری‌ با الهام از مثلث نمادین پرادا ارائه می‌شود.نتهای غالب در عطر  پرادا پارادایم یادداشت های کهربایی، تازه تند و معطر است که با رایحه ی ملایم مناسب برای استفاده چهار فصل است.
50ml
70$</t>
        </is>
      </c>
      <c r="D187" s="18" t="n">
        <v>70</v>
      </c>
      <c r="E187" s="18" t="inlineStr">
        <is>
          <t>50ml</t>
        </is>
      </c>
      <c r="F187" s="18" t="n"/>
      <c r="G187" s="18" t="inlineStr">
        <is>
          <t>کانادا</t>
        </is>
      </c>
      <c r="H187" s="18" t="inlineStr">
        <is>
          <t>عطر و ادکلن</t>
        </is>
      </c>
      <c r="I187" s="18" t="inlineStr">
        <is>
          <t>photo_1936@23-06-2026_19-03-28.jpg</t>
        </is>
      </c>
      <c r="J187" s="18" t="n"/>
      <c r="K187" s="18" t="n"/>
      <c r="L187" s="18" t="n"/>
      <c r="M187" s="18" t="n"/>
      <c r="N187" s="18">
        <f>D187*تنظیمات!$B$3*تنظیمات!$B$5+(F187/1000)*تنظیمات!$B$4</f>
        <v/>
      </c>
    </row>
    <row r="188" ht="72" customHeight="1">
      <c r="A188" s="18" t="inlineStr">
        <is>
          <t>IMP-0184</t>
        </is>
      </c>
      <c r="B188" s="18" t="inlineStr">
        <is>
          <t>نت ها</t>
        </is>
      </c>
      <c r="C188" s="18" t="inlineStr">
        <is>
          <t>🌸نت ها:
نت آغازین: آناناس. کارامل. برگاموت.لیمو.
نت میانی: آناناس .یادداشت‌های خورشیدی. کلاری سیج.شمعدانی.
نت پایانی: چرم .چوب سدر.وتیور.
عطر Polo 67 Eau de Parfum Extreme Ralph Lauren for Men تجسمی مدرن از قدرت، جسارت و روحیه‌ی ماجراجویانه مردانه است که در ادامه‌ی موفق سری پولو معرفی شده. این عطر مردانه با طبعی گرم و تلخ، ترکیبی عمیق و پرانرژی از نت‌های معطر و چوبی را ارائه می‌دهد که از همان اسپری اول حس اعتمادبه‌نفس و پویایی را القا می‌کند. رایحه‌ای قوی و متمایز که برای مردان امروزی با استایل اسپرت-لوکس طراحی شده و امضایی خاص و به‌یادماندنی بر جای می‌گذارد.
40ml
30$</t>
        </is>
      </c>
      <c r="D188" s="18" t="n">
        <v>30</v>
      </c>
      <c r="E188" s="18" t="inlineStr">
        <is>
          <t>40ml</t>
        </is>
      </c>
      <c r="F188" s="18" t="n"/>
      <c r="G188" s="18" t="inlineStr">
        <is>
          <t>کانادا</t>
        </is>
      </c>
      <c r="H188" s="18" t="inlineStr">
        <is>
          <t>عطر و ادکلن</t>
        </is>
      </c>
      <c r="I188" s="18" t="inlineStr">
        <is>
          <t>photo_1938@23-06-2026_19-07-00.jpg</t>
        </is>
      </c>
      <c r="J188" s="18" t="n"/>
      <c r="K188" s="18" t="n"/>
      <c r="L188" s="18" t="n"/>
      <c r="M188" s="18" t="n"/>
      <c r="N188" s="18">
        <f>D188*تنظیمات!$B$3*تنظیمات!$B$5+(F188/1000)*تنظیمات!$B$4</f>
        <v/>
      </c>
    </row>
    <row r="189" ht="72" customHeight="1">
      <c r="A189" s="18" t="inlineStr">
        <is>
          <t>IMP-0185</t>
        </is>
      </c>
      <c r="B189" s="18" t="inlineStr">
        <is>
          <t>قیمت 50 میل آکوا در سایت ها : 145$</t>
        </is>
      </c>
      <c r="C189" s="18" t="inlineStr">
        <is>
          <t>قیمت ۵۰ میل آکوا در سایت ها : 145$
در الیکا شاپ قیمت ۷۵ میل : 70$ 😍</t>
        </is>
      </c>
      <c r="D189" s="18" t="n">
        <v>145</v>
      </c>
      <c r="E189" s="18" t="inlineStr">
        <is>
          <t>50ml</t>
        </is>
      </c>
      <c r="F189" s="18" t="n"/>
      <c r="G189" s="18" t="inlineStr">
        <is>
          <t>کانادا</t>
        </is>
      </c>
      <c r="H189" s="18" t="inlineStr">
        <is>
          <t>عطر و ادکلن</t>
        </is>
      </c>
      <c r="I189" s="18" t="inlineStr">
        <is>
          <t>photo_1955@30-06-2026_01-11-53.jpg</t>
        </is>
      </c>
      <c r="J189" s="18" t="n"/>
      <c r="K189" s="18" t="n"/>
      <c r="L189" s="18" t="n"/>
      <c r="M189" s="18" t="n"/>
      <c r="N189" s="18">
        <f>D189*تنظیمات!$B$3*تنظیمات!$B$5+(F189/1000)*تنظیمات!$B$4</f>
        <v/>
      </c>
    </row>
    <row r="190" ht="72" customHeight="1">
      <c r="A190" s="18" t="inlineStr">
        <is>
          <t>IMP-0186</t>
        </is>
      </c>
      <c r="B190" s="18" t="inlineStr">
        <is>
          <t>قیمت در حالت عادی:175$</t>
        </is>
      </c>
      <c r="C190" s="18" t="inlineStr">
        <is>
          <t>قیمت در حالت عادی:175$
با تخفیف الان:87.5$</t>
        </is>
      </c>
      <c r="D190" s="18" t="n">
        <v>175</v>
      </c>
      <c r="E190" s="18" t="n"/>
      <c r="F190" s="18" t="n"/>
      <c r="G190" s="18" t="inlineStr">
        <is>
          <t>کانادا</t>
        </is>
      </c>
      <c r="H190" s="18" t="inlineStr">
        <is>
          <t>عطر و ادکلن</t>
        </is>
      </c>
      <c r="I190" s="18" t="inlineStr">
        <is>
          <t>photo_1974@01-07-2026_19-30-20.jpg</t>
        </is>
      </c>
      <c r="J190" s="18" t="n"/>
      <c r="K190" s="18" t="n"/>
      <c r="L190" s="18" t="n"/>
      <c r="M190" s="18" t="n"/>
      <c r="N190" s="18">
        <f>D190*تنظیمات!$B$3*تنظیمات!$B$5+(F190/1000)*تنظیمات!$B$4</f>
        <v/>
      </c>
    </row>
    <row r="191" ht="72" customHeight="1">
      <c r="A191" s="18" t="inlineStr">
        <is>
          <t>IMP-0187</t>
        </is>
      </c>
      <c r="B191" s="18" t="inlineStr">
        <is>
          <t>قیمت در حالت عادی:185$</t>
        </is>
      </c>
      <c r="C191" s="18" t="inlineStr">
        <is>
          <t>قیمت در حالت عادی:185$
با تخفیف الان:111$</t>
        </is>
      </c>
      <c r="D191" s="18" t="n">
        <v>185</v>
      </c>
      <c r="E191" s="18" t="n"/>
      <c r="F191" s="18" t="n"/>
      <c r="G191" s="18" t="inlineStr">
        <is>
          <t>کانادا</t>
        </is>
      </c>
      <c r="H191" s="18" t="inlineStr">
        <is>
          <t>عطر و ادکلن</t>
        </is>
      </c>
      <c r="I191" s="18" t="inlineStr">
        <is>
          <t>photo_1975@01-07-2026_19-31-30.jpg</t>
        </is>
      </c>
      <c r="J191" s="18" t="n"/>
      <c r="K191" s="18" t="n"/>
      <c r="L191" s="18" t="n"/>
      <c r="M191" s="18" t="n"/>
      <c r="N191" s="18">
        <f>D191*تنظیمات!$B$3*تنظیمات!$B$5+(F191/1000)*تنظیمات!$B$4</f>
        <v/>
      </c>
    </row>
    <row r="192" ht="72" customHeight="1">
      <c r="A192" s="18" t="inlineStr">
        <is>
          <t>IMP-0188</t>
        </is>
      </c>
      <c r="B192" s="18" t="inlineStr">
        <is>
          <t>قیمت در حالت عادی:150$</t>
        </is>
      </c>
      <c r="C192" s="18" t="inlineStr">
        <is>
          <t>قیمت در حالت عادی:150$
با تخفیف الان:90$</t>
        </is>
      </c>
      <c r="D192" s="18" t="n">
        <v>150</v>
      </c>
      <c r="E192" s="18" t="n"/>
      <c r="F192" s="18" t="n"/>
      <c r="G192" s="18" t="inlineStr">
        <is>
          <t>کانادا</t>
        </is>
      </c>
      <c r="H192" s="18" t="inlineStr">
        <is>
          <t>عطر و ادکلن</t>
        </is>
      </c>
      <c r="I192" s="18" t="inlineStr">
        <is>
          <t>photo_1976@01-07-2026_19-33-23.jpg</t>
        </is>
      </c>
      <c r="J192" s="18" t="n"/>
      <c r="K192" s="18" t="n"/>
      <c r="L192" s="18" t="n"/>
      <c r="M192" s="18" t="n"/>
      <c r="N192" s="18">
        <f>D192*تنظیمات!$B$3*تنظیمات!$B$5+(F192/1000)*تنظیمات!$B$4</f>
        <v/>
      </c>
    </row>
    <row r="193" ht="72" customHeight="1">
      <c r="A193" s="18" t="inlineStr">
        <is>
          <t>IMP-0189</t>
        </is>
      </c>
      <c r="B193" s="18" t="inlineStr">
        <is>
          <t>قیمت در حالت عادی:152$</t>
        </is>
      </c>
      <c r="C193" s="18" t="inlineStr">
        <is>
          <t>قیمت در حالت عادی:152$
با تخفیف الان:92.5$</t>
        </is>
      </c>
      <c r="D193" s="18" t="n">
        <v>152</v>
      </c>
      <c r="E193" s="18" t="n"/>
      <c r="F193" s="18" t="n"/>
      <c r="G193" s="18" t="inlineStr">
        <is>
          <t>کانادا</t>
        </is>
      </c>
      <c r="H193" s="18" t="inlineStr">
        <is>
          <t>عطر و ادکلن</t>
        </is>
      </c>
      <c r="I193" s="18" t="inlineStr">
        <is>
          <t>photo_1977@01-07-2026_19-35-28.jpg</t>
        </is>
      </c>
      <c r="J193" s="18" t="n"/>
      <c r="K193" s="18" t="n"/>
      <c r="L193" s="18" t="n"/>
      <c r="M193" s="18" t="n"/>
      <c r="N193" s="18">
        <f>D193*تنظیمات!$B$3*تنظیمات!$B$5+(F193/1000)*تنظیمات!$B$4</f>
        <v/>
      </c>
    </row>
    <row r="194" ht="72" customHeight="1">
      <c r="A194" s="18" t="inlineStr">
        <is>
          <t>IMP-0190</t>
        </is>
      </c>
      <c r="B194" s="18" t="inlineStr">
        <is>
          <t>اسانس اولیه :رز ، نمک</t>
        </is>
      </c>
      <c r="C194" s="18" t="inlineStr">
        <is>
          <t>اسانس اولیه :رز ، نمک
اسانس میانی :یاس
اسانس پایه :مشک،وانیل
قیمت در حالت عادی:145$
با تخفیف الان :87$</t>
        </is>
      </c>
      <c r="D194" s="18" t="n">
        <v>145</v>
      </c>
      <c r="E194" s="18" t="n"/>
      <c r="F194" s="18" t="n"/>
      <c r="G194" s="18" t="inlineStr">
        <is>
          <t>کانادا</t>
        </is>
      </c>
      <c r="H194" s="18" t="inlineStr">
        <is>
          <t>عطر و ادکلن</t>
        </is>
      </c>
      <c r="I194" s="18" t="inlineStr">
        <is>
          <t>photo_1982@04-07-2026_19-43-41.jpg</t>
        </is>
      </c>
      <c r="J194" s="18" t="n"/>
      <c r="K194" s="18" t="n"/>
      <c r="L194" s="18" t="n"/>
      <c r="M194" s="18" t="n"/>
      <c r="N194" s="18">
        <f>D194*تنظیمات!$B$3*تنظیمات!$B$5+(F194/1000)*تنظیمات!$B$4</f>
        <v/>
      </c>
    </row>
    <row r="195" ht="72" customHeight="1">
      <c r="A195" s="18" t="inlineStr">
        <is>
          <t>IMP-0191</t>
        </is>
      </c>
      <c r="B195" s="18" t="inlineStr">
        <is>
          <t>قیمت در حالت عادی:80$</t>
        </is>
      </c>
      <c r="C195" s="18" t="inlineStr">
        <is>
          <t>قیمت در حالت عادی:80$
با تخفیف:48$
200 ml</t>
        </is>
      </c>
      <c r="D195" s="18" t="n">
        <v>80</v>
      </c>
      <c r="E195" s="18" t="inlineStr">
        <is>
          <t>200ml</t>
        </is>
      </c>
      <c r="F195" s="18" t="n"/>
      <c r="G195" s="18" t="inlineStr">
        <is>
          <t>کانادا</t>
        </is>
      </c>
      <c r="H195" s="18" t="inlineStr">
        <is>
          <t>عطر و ادکلن</t>
        </is>
      </c>
      <c r="I195" s="18" t="inlineStr">
        <is>
          <t>photo_1983@04-07-2026_19-45-55.jpg</t>
        </is>
      </c>
      <c r="J195" s="18" t="n"/>
      <c r="K195" s="18" t="n"/>
      <c r="L195" s="18" t="n"/>
      <c r="M195" s="18" t="n"/>
      <c r="N195" s="18">
        <f>D195*تنظیمات!$B$3*تنظیمات!$B$5+(F195/1000)*تنظیمات!$B$4</f>
        <v/>
      </c>
    </row>
    <row r="196" ht="72" customHeight="1">
      <c r="A196" s="18" t="inlineStr">
        <is>
          <t>IMP-0192</t>
        </is>
      </c>
      <c r="B196" s="18" t="inlineStr">
        <is>
          <t>لیست عطرهای مینیاتوری ⬇️⬇</t>
        </is>
      </c>
      <c r="C196" s="18" t="inlineStr">
        <is>
          <t>لیست عطرهای مینیاتوری ⬇️⬇️
⚜   -Burberry Goddess Eau de Parfum, 5 ml   11$
,
⚜ - Carolina Herrera Very Good Girl Eau de Parfum, 7 ml (Note: Incorrectly labeled as Elixir on the box.)   12$
,
⚜-Jean Paul Gaultier Le Male Eau de Toilette, 7 ml    13$
,
⚜  - Narciso Rodriguez All of Me Eau de Parfum, 7.5 ml   14$
@HematiPsy
✅❌
,
⚜-Rabanne Million Gold For Her Parfum, 5 ml   12$
,
⚜ -Gucci Flora Gorgeous Gardenia Eau de Parfum, 5 ml    13$</t>
        </is>
      </c>
      <c r="D196" s="18" t="n">
        <v>11</v>
      </c>
      <c r="E196" s="18" t="inlineStr">
        <is>
          <t>5ml</t>
        </is>
      </c>
      <c r="F196" s="18" t="n"/>
      <c r="G196" s="18" t="inlineStr">
        <is>
          <t>کانادا</t>
        </is>
      </c>
      <c r="H196" s="18" t="inlineStr">
        <is>
          <t>عطر و ادکلن</t>
        </is>
      </c>
      <c r="I196" s="18" t="inlineStr">
        <is>
          <t>photo_1984@04-07-2026_20-10-27.jpg</t>
        </is>
      </c>
      <c r="J196" s="18" t="n"/>
      <c r="K196" s="18" t="n"/>
      <c r="L196" s="18" t="n"/>
      <c r="M196" s="18" t="n"/>
      <c r="N196" s="18">
        <f>D196*تنظیمات!$B$3*تنظیمات!$B$5+(F196/1000)*تنظیمات!$B$4</f>
        <v/>
      </c>
    </row>
    <row r="197" ht="72" customHeight="1">
      <c r="A197" s="18" t="inlineStr">
        <is>
          <t>IMP-0193</t>
        </is>
      </c>
      <c r="B197" s="18" t="inlineStr">
        <is>
          <t>Viktor &amp; Rolf – Flowerbomb Eau de Parfum — 7 mL 9$</t>
        </is>
      </c>
      <c r="C197" s="18" t="inlineStr">
        <is>
          <t>⚜Viktor &amp; Rolf – Flowerbomb Eau de Parfum — 7 mL   9$
⚜Tom Ford – Soleil Blanc Eau de Parfum — 2 mL     5$
@i842248
✅❌
⚜Kayali – Vanilla | 28 Eau de Parfum — 5 mL    8$
@Neegu7
✅❌
⚜Commodity – Milk Eau de Parfum — 10 mL    12$
⚜Carolina Herrera – Good Girl Eau de Parfum — 7 mL    12$
@zghorbanoghli
✅❌
⚜Jo Malone London – English Pear &amp; Freesia Cologne — 9 mL   12$
@Midwife_s1990
✅❌
⚜Valentino – Donna Born In Roma Eau de Parfum — 6 mL  10$
@hormiza
✅❌
⚜Burberry – Her Eau de Parfum — 4 mL   7$
@zghorbanoghli
✅❌</t>
        </is>
      </c>
      <c r="D197" s="18" t="n">
        <v>9</v>
      </c>
      <c r="E197" s="18" t="inlineStr">
        <is>
          <t>7ml</t>
        </is>
      </c>
      <c r="F197" s="18" t="n"/>
      <c r="G197" s="18" t="inlineStr">
        <is>
          <t>کانادا</t>
        </is>
      </c>
      <c r="H197" s="18" t="inlineStr">
        <is>
          <t>عطر و ادکلن</t>
        </is>
      </c>
      <c r="I197" s="18" t="inlineStr">
        <is>
          <t>photo_1985@05-07-2026_21-47-17.jpg</t>
        </is>
      </c>
      <c r="J197" s="18" t="n"/>
      <c r="K197" s="18" t="n"/>
      <c r="L197" s="18" t="n"/>
      <c r="M197" s="18" t="n"/>
      <c r="N197" s="18">
        <f>D197*تنظیمات!$B$3*تنظیمات!$B$5+(F197/1000)*تنظیمات!$B$4</f>
        <v/>
      </c>
    </row>
    <row r="198" ht="72" customHeight="1">
      <c r="A198" s="18" t="inlineStr">
        <is>
          <t>IMP-0194</t>
        </is>
      </c>
      <c r="B198" s="18" t="inlineStr">
        <is>
          <t>لیست عطرهای مینیاتوری⬇️⬇️⬇</t>
        </is>
      </c>
      <c r="C198" s="18" t="inlineStr">
        <is>
          <t>لیست عطرهای مینیاتوری⬇️⬇️⬇️
⚜-Balmain Carbone Eau De Parfum, 4 ml  14$
سما ✅❌
⚜-Tom Ford Figue Erotique Eau de Parfum, 4 ml   20$
@zeinabnoor624
✅❌
⚜- L'Artisan Parfumeur Histoire d'Orangers Extrême Eau de Parfum, 5 ml   15$
⚜ Guerlain L'Art &amp; La Matière Angélique Noire Eau de Parfum, 10 ml     25$
@PariaAslzad
✅❌
⚜Matiere Premiere Vanilla Powder Eau de Parfum, 6 ml  16$
@Neegu7
✅❌
⚜-Loewe 001 Woman Eau de Toilette, 7 ml  15$
⚜ YSL Le Vestiaire des Parfums - Muse Inspiring Ink, 7.5 ml   20$
سما ✅❌</t>
        </is>
      </c>
      <c r="D198" s="18" t="n">
        <v>14</v>
      </c>
      <c r="E198" s="18" t="inlineStr">
        <is>
          <t>4ml</t>
        </is>
      </c>
      <c r="F198" s="18" t="n"/>
      <c r="G198" s="18" t="inlineStr">
        <is>
          <t>کانادا</t>
        </is>
      </c>
      <c r="H198" s="18" t="inlineStr">
        <is>
          <t>عطر و ادکلن</t>
        </is>
      </c>
      <c r="I198" s="18" t="inlineStr">
        <is>
          <t>photo_1986@06-07-2026_10-24-26.jpg</t>
        </is>
      </c>
      <c r="J198" s="18" t="n"/>
      <c r="K198" s="18" t="n"/>
      <c r="L198" s="18" t="n"/>
      <c r="M198" s="18" t="n"/>
      <c r="N198" s="18">
        <f>D198*تنظیمات!$B$3*تنظیمات!$B$5+(F198/1000)*تنظیمات!$B$4</f>
        <v/>
      </c>
    </row>
    <row r="199" ht="72" customHeight="1">
      <c r="A199" s="18" t="inlineStr">
        <is>
          <t>IMP-0195</t>
        </is>
      </c>
      <c r="B199" s="18" t="inlineStr">
        <is>
          <t>2 عدد 4 میل تامفورد</t>
        </is>
      </c>
      <c r="C199" s="18" t="inlineStr">
        <is>
          <t>۲ عدد  ۴ میل  تامفورد
40$
Tom Ford Lost Cherry: آلبالو، بادام تلخ، رز، یاس، وانیل، دانه تونکا، چوب صندل.
رایحه: شیرین، میوه‌ای، گرم.
Tom Ford Soleil Blanc: ترنج، هل، پسته، یلانگ یلانگ، نارگیل، عنبر، دانه تونکا.
رایحه: نارگیلی، کرمی، آفتابی و تابستانی.</t>
        </is>
      </c>
      <c r="D199" s="18" t="n">
        <v>40</v>
      </c>
      <c r="E199" s="18" t="inlineStr">
        <is>
          <t>4ml</t>
        </is>
      </c>
      <c r="F199" s="18" t="n"/>
      <c r="G199" s="18" t="inlineStr">
        <is>
          <t>کانادا</t>
        </is>
      </c>
      <c r="H199" s="18" t="inlineStr">
        <is>
          <t>عطر و ادکلن</t>
        </is>
      </c>
      <c r="I199" s="18" t="inlineStr">
        <is>
          <t>photo_1989@06-07-2026_11-09-11.jpg</t>
        </is>
      </c>
      <c r="J199" s="18" t="n"/>
      <c r="K199" s="18" t="n"/>
      <c r="L199" s="18" t="n"/>
      <c r="M199" s="18" t="n"/>
      <c r="N199" s="18">
        <f>D199*تنظیمات!$B$3*تنظیمات!$B$5+(F199/1000)*تنظیمات!$B$4</f>
        <v/>
      </c>
    </row>
    <row r="200" ht="72" customHeight="1">
      <c r="A200" s="18" t="inlineStr">
        <is>
          <t>IMP-0196</t>
        </is>
      </c>
      <c r="B200" s="18" t="inlineStr">
        <is>
          <t>Jean Paul Gaultier</t>
        </is>
      </c>
      <c r="C200" s="18" t="inlineStr">
        <is>
          <t>Jean Paul Gaultier
۴ عدد ۷میل
58$
Jean Paul Gaultier Le Male Eau de Toilette: مردانه کلاسیک؛ تمیز، معطر و وانیلی.
Jean Paul Gaultier Le Male Elixir: مردانه مدرن؛ بسیار شیرین، عسلی و اغواکننده.
Jean Paul Gaultier Le Male Elixir Absolu: مردانه لوکس؛ غلیظ، ادویه‌ای و کهربایی.
Jean Paul Gaultier Le Beau Eau de Toilette: مردانه استوایی؛ نارگیلی، شیرین و مناسب هوای گرم.</t>
        </is>
      </c>
      <c r="D200" s="18" t="n">
        <v>58</v>
      </c>
      <c r="E200" s="18" t="inlineStr">
        <is>
          <t>7ml</t>
        </is>
      </c>
      <c r="F200" s="18" t="n"/>
      <c r="G200" s="18" t="inlineStr">
        <is>
          <t>کانادا</t>
        </is>
      </c>
      <c r="H200" s="18" t="inlineStr">
        <is>
          <t>عطر و ادکلن</t>
        </is>
      </c>
      <c r="I200" s="18" t="inlineStr">
        <is>
          <t>photo_1990@06-07-2026_11-13-44.jpg</t>
        </is>
      </c>
      <c r="J200" s="18" t="n"/>
      <c r="K200" s="18" t="n"/>
      <c r="L200" s="18" t="n"/>
      <c r="M200" s="18" t="n"/>
      <c r="N200" s="18">
        <f>D200*تنظیمات!$B$3*تنظیمات!$B$5+(F200/1000)*تنظیمات!$B$4</f>
        <v/>
      </c>
    </row>
    <row r="201" ht="72" customHeight="1">
      <c r="A201" s="18" t="inlineStr">
        <is>
          <t>IMP-0197</t>
        </is>
      </c>
      <c r="B201" s="18" t="inlineStr">
        <is>
          <t>با قیمت استثنائی</t>
        </is>
      </c>
      <c r="C201" s="18" t="inlineStr">
        <is>
          <t>با قیمت استثنائی
۷۷.۵$
50ml
با این قیمت فقط دو عدد داریم</t>
        </is>
      </c>
      <c r="D201" s="18" t="n">
        <v>77.5</v>
      </c>
      <c r="E201" s="18" t="inlineStr">
        <is>
          <t>50ml</t>
        </is>
      </c>
      <c r="F201" s="18" t="n"/>
      <c r="G201" s="18" t="inlineStr">
        <is>
          <t>کانادا</t>
        </is>
      </c>
      <c r="H201" s="18" t="inlineStr">
        <is>
          <t>عطر و ادکلن</t>
        </is>
      </c>
      <c r="I201" s="18" t="inlineStr">
        <is>
          <t>photo_1997@11-07-2026_07-24-12.jpg</t>
        </is>
      </c>
      <c r="J201" s="18" t="n"/>
      <c r="K201" s="18" t="n"/>
      <c r="L201" s="18" t="n"/>
      <c r="M201" s="18" t="n"/>
      <c r="N201" s="18">
        <f>D201*تنظیمات!$B$3*تنظیمات!$B$5+(F201/1000)*تنظیمات!$B$4</f>
        <v/>
      </c>
    </row>
    <row r="202" ht="72" customHeight="1">
      <c r="A202" s="18" t="inlineStr">
        <is>
          <t>IMP-0198</t>
        </is>
      </c>
      <c r="B202" s="18" t="inlineStr">
        <is>
          <t>نت ها</t>
        </is>
      </c>
      <c r="C202" s="18" t="inlineStr">
        <is>
          <t>🌸نت ها:
رایحه ابتدایی : آناناس ، ترنج
رایحه میانی : گل توبروز ، یاسمن
رایحه پایانی : وانیل، مشک
توضیحات:
ترکیب کلی رایحه مای وی سانی وانیلا یک هارمونی خوشایند از نت‌های تازه، خوراکی و پایه‌های شیرین است که حس سرزندگی، شادی و جذابیت را به‌خوبی منتقل می‌کند و تجربه‌ای بی‌نظیر از رایحه‌های تابستانی ارائه می‌دهد.
برای تابستان فوق العادس😍
50 ml
جعبه اصلی
85$</t>
        </is>
      </c>
      <c r="D202" s="18" t="n">
        <v>85</v>
      </c>
      <c r="E202" s="18" t="inlineStr">
        <is>
          <t>50ml</t>
        </is>
      </c>
      <c r="F202" s="18" t="n"/>
      <c r="G202" s="18" t="inlineStr">
        <is>
          <t>کانادا</t>
        </is>
      </c>
      <c r="H202" s="18" t="inlineStr">
        <is>
          <t>عطر و ادکلن</t>
        </is>
      </c>
      <c r="I202" s="18" t="inlineStr">
        <is>
          <t>photo_2006@12-07-2026_15-10-40.jpg</t>
        </is>
      </c>
      <c r="J202" s="18" t="n"/>
      <c r="K202" s="18" t="n"/>
      <c r="L202" s="18" t="n"/>
      <c r="M202" s="18" t="n"/>
      <c r="N202" s="18">
        <f>D202*تنظیمات!$B$3*تنظیمات!$B$5+(F202/1000)*تنظیمات!$B$4</f>
        <v/>
      </c>
    </row>
    <row r="203" ht="72" customHeight="1">
      <c r="A203" s="18" t="inlineStr">
        <is>
          <t>IMP-0199</t>
        </is>
      </c>
      <c r="B203" s="18" t="inlineStr">
        <is>
          <t>LIBRE Eau de Parfum Intense</t>
        </is>
      </c>
      <c r="C203" s="18" t="inlineStr">
        <is>
          <t>🖤LIBRE Eau de Parfum Intense
🔸 نوع: زنانه
🔸 سبک: گرم - شرقی
🌸ترکیب نت‌ها:
🔸 نت‌های ابتدایی: ترنج ، نارنگی ماندارین، اسطوخودوس
🔸 نت‌های میانی: اسطوخودوس ، یاس، شکوفه پرتقال ، ارکیده
🔸 نت‌های پایه: دانه تونکا ، وانیل ، خس خس ، عنبر
📝 توضیحات:
عطر  Yves Saint Laurent Libre Intense با داشتن رایحه‌های شرقی فوژه نشان دهنده اصیل ترین و ناب ترین ویژگی‌های زنانه شما است. با استفاده از این رایحه به راحتی در مهمانی ها توجه ها را به سوی خود جلب میکنید
90ml
145$
تستر</t>
        </is>
      </c>
      <c r="D203" s="18" t="n">
        <v>145</v>
      </c>
      <c r="E203" s="18" t="inlineStr">
        <is>
          <t>90ml</t>
        </is>
      </c>
      <c r="F203" s="18" t="n"/>
      <c r="G203" s="18" t="inlineStr">
        <is>
          <t>کانادا</t>
        </is>
      </c>
      <c r="H203" s="18" t="inlineStr">
        <is>
          <t>عطر و ادکلن</t>
        </is>
      </c>
      <c r="I203" s="18" t="inlineStr">
        <is>
          <t>photo_2008@12-07-2026_15-17-09.jpg</t>
        </is>
      </c>
      <c r="J203" s="18" t="n"/>
      <c r="K203" s="18" t="n"/>
      <c r="L203" s="18" t="n"/>
      <c r="M203" s="18" t="n"/>
      <c r="N203" s="18">
        <f>D203*تنظیمات!$B$3*تنظیمات!$B$5+(F203/1000)*تنظیمات!$B$4</f>
        <v/>
      </c>
    </row>
    <row r="204" ht="72" customHeight="1">
      <c r="A204" s="18" t="inlineStr">
        <is>
          <t>IMP-0200</t>
        </is>
      </c>
      <c r="B204" s="18" t="inlineStr">
        <is>
          <t>Sauvage parfum</t>
        </is>
      </c>
      <c r="C204" s="18" t="inlineStr">
        <is>
          <t>Sauvage parfum
🌸نت ها:
رایحه ابتدایی : ترنج ، نارنگی ماندارین
رایحه میانی : چوب صندل سفید
رایحه پایانی : دانه تونکا ، وانیل ، صمغ کندر
توضیحات:
«ساوج پرفیوم» تفسیری جدید و شدیدا غلیظ از عطر اصلی ساوج است که با الهام‌گیری از چشم‌انداز چمن‌زارهای مهتابی، آسمان‌های تاریک و آتش‌های میان‌راهی خلق شده است. فرانسوا دماشی (عطرساز کمپانی دیور) آمیزه این عطر را به گونه‌ای طراحی کرده است که طراوت عمیقش به‌خوبی با مایه‌های گرم و شرقی‌اش همراه شوند. نتیجه نهایی هم خلق آمیزه‌ای مایه‌ور و سرمست‌کننده بوده است که روحی شرقی دارد.
100ml
145$
تستر</t>
        </is>
      </c>
      <c r="D204" s="18" t="n">
        <v>145</v>
      </c>
      <c r="E204" s="18" t="inlineStr">
        <is>
          <t>100ml</t>
        </is>
      </c>
      <c r="F204" s="18" t="n"/>
      <c r="G204" s="18" t="inlineStr">
        <is>
          <t>کانادا</t>
        </is>
      </c>
      <c r="H204" s="18" t="inlineStr">
        <is>
          <t>عطر و ادکلن</t>
        </is>
      </c>
      <c r="I204" s="18" t="inlineStr">
        <is>
          <t>photo_2011@12-07-2026_16-56-31.jpg</t>
        </is>
      </c>
      <c r="J204" s="18" t="n"/>
      <c r="K204" s="18" t="n"/>
      <c r="L204" s="18" t="n"/>
      <c r="M204" s="18" t="n"/>
      <c r="N204" s="18">
        <f>D204*تنظیمات!$B$3*تنظیمات!$B$5+(F204/1000)*تنظیمات!$B$4</f>
        <v/>
      </c>
    </row>
    <row r="205" ht="72" customHeight="1">
      <c r="A205" s="18" t="inlineStr">
        <is>
          <t>IMP-0201</t>
        </is>
      </c>
      <c r="B205" s="18" t="inlineStr">
        <is>
          <t>Estée Lauder Beautiful Eau de Parfum</t>
        </is>
      </c>
      <c r="C205" s="18" t="inlineStr">
        <is>
          <t>Estée Lauder Beautiful Eau de Parfum
🔸 نوع: زنانه
🔸تولید از سال:1985
🔸 سبک: معتدل - گلاسیک - گلی
🌸ترکیب نت‌ها:
🔸 نت‌های ابتدایی: ترنج ، نارنگی ماندارین، لیمو ترش، رز ، صمغ گالبانیوم، میوه‌جات، انگور فرنگی سیاه، گل سوسن، برگ و جوانه انگور فرنگی
🔸 نت‌های میانی:بهار نارنج، فریزیا ، سالویا ، بنفشه ، گل ابریشم ، شمعدانی ، گل برف ، ادویه گل میخک ، گل یلانگ ، نرگس ، شکوفه پرتقال ، گل مریم ، مگنولیا ، بابونه ، یاس بنفش، گل جعفری
🔸 نت‌های پایه: مشک ، کهربا، وانیل ، خس خس ، سدر ، چوب صندل سفید
📝 توضیحات:
«هزاران گل در یک لحظه، احساسی که همیشه باقی می‌ماند.»
از رایحه پرشور رز و لیلی با درخششی از نارنگی و سوسن شروع می‌شود؛
با قلبی از یاس، گل برف ، گل یلانگ و بهار نارنج می‌رقصد؛
و در پایان، سدر، مشک، وانیل و چوب صندل سفید گرمایی مطبوع، لطیف و چشم‌نواز باقی می‌گذارند.
این عطر برای زنی‌ست که عشق را زندگی می‌کند، حالت را با لطافت می‌سازد و حضورش تا همیشه قابل‌حس است.
📌 بدون جعبه
75ml
240 gr
35$</t>
        </is>
      </c>
      <c r="D205" s="18" t="n">
        <v>35</v>
      </c>
      <c r="E205" s="18" t="inlineStr">
        <is>
          <t>75ml</t>
        </is>
      </c>
      <c r="F205" s="18" t="n">
        <v>240</v>
      </c>
      <c r="G205" s="18" t="inlineStr">
        <is>
          <t>کانادا</t>
        </is>
      </c>
      <c r="H205" s="18" t="inlineStr">
        <is>
          <t>عطر و ادکلن</t>
        </is>
      </c>
      <c r="I205" s="18" t="inlineStr">
        <is>
          <t>photo_2013@12-07-2026_19-24-20.jpg</t>
        </is>
      </c>
      <c r="J205" s="18" t="n"/>
      <c r="K205" s="18" t="n"/>
      <c r="L205" s="18" t="n"/>
      <c r="M205" s="18" t="n"/>
      <c r="N205" s="18">
        <f>D205*تنظیمات!$B$3*تنظیمات!$B$5+(F205/1000)*تنظیمات!$B$4</f>
        <v/>
      </c>
    </row>
    <row r="206" ht="72" customHeight="1">
      <c r="A206" s="18" t="inlineStr">
        <is>
          <t>IMP-0202</t>
        </is>
      </c>
      <c r="B206" s="18" t="inlineStr">
        <is>
          <t>ست narciso Rodriguez</t>
        </is>
      </c>
      <c r="C206" s="18" t="inlineStr">
        <is>
          <t>ست narciso Rodriguez
🌸 narciso Rodriguez eau de toilette
💜 narciso Rodriguez eau de parfum
🤍 narciso Rodriguez  pure musc eau de parfum
🩷 narciso Rodriguez musc noir eau de parfum
36$</t>
        </is>
      </c>
      <c r="D206" s="18" t="n">
        <v>36</v>
      </c>
      <c r="E206" s="18" t="n"/>
      <c r="F206" s="18" t="n"/>
      <c r="G206" s="18" t="inlineStr">
        <is>
          <t>کانادا</t>
        </is>
      </c>
      <c r="H206" s="18" t="inlineStr">
        <is>
          <t>عطر و ادکلن</t>
        </is>
      </c>
      <c r="I206" s="18" t="inlineStr">
        <is>
          <t>photo_2014@12-07-2026_19-32-35.jpg</t>
        </is>
      </c>
      <c r="J206" s="18" t="n"/>
      <c r="K206" s="18" t="n"/>
      <c r="L206" s="18" t="n"/>
      <c r="M206" s="18" t="n"/>
      <c r="N206" s="18">
        <f>D206*تنظیمات!$B$3*تنظیمات!$B$5+(F206/1000)*تنظیمات!$B$4</f>
        <v/>
      </c>
    </row>
    <row r="207" ht="72" customHeight="1">
      <c r="A207" s="18" t="inlineStr">
        <is>
          <t>IMP-0203</t>
        </is>
      </c>
      <c r="B207" s="18" t="inlineStr">
        <is>
          <t>ACQUA DI PARMA - Magnolia Nobile</t>
        </is>
      </c>
      <c r="C207" s="18" t="inlineStr">
        <is>
          <t>ACQUA DI PARMA - Magnolia Nobile
🌸نت ها:
رایحه ابتدایی : ترنج ، لیمو ترش، بالنگ
رایحه میانی : رز ، یاس، گل مریم ، مگنولیا
رایحه پایانی : وانیل ، نعناع هندی ، خس خس ، چوب صندل سفید
توضیحات:
مگنولیا نوبیل با الهام‌گیری از باغ‌های زیبا در منطقه کاخ‌های باشکوه دریاچه کومو (ایتالیا)، ظرافت‌های طبیعی و کمتر پرداخته‌شده را آشکار می‌کند. مگنولیا نوبیل که با استفاده از ناب‌ترین عصاره‌ها خلق شده، از عطرهای ادو پارفیوم آکوا دی پارما است که ناب‌ترین و خالص‌ترین سویه‌های نت مگنولیا را نمایان می‌گرداند.
این عطر هم برای تابستون عالیه😍
100$</t>
        </is>
      </c>
      <c r="D207" s="18" t="n">
        <v>100</v>
      </c>
      <c r="E207" s="18" t="n"/>
      <c r="F207" s="18" t="n"/>
      <c r="G207" s="18" t="inlineStr">
        <is>
          <t>کانادا</t>
        </is>
      </c>
      <c r="H207" s="18" t="inlineStr">
        <is>
          <t>عطر و ادکلن</t>
        </is>
      </c>
      <c r="I207" s="18" t="inlineStr">
        <is>
          <t>photo_2015@12-07-2026_19-48-54.jpg</t>
        </is>
      </c>
      <c r="J207" s="18" t="n"/>
      <c r="K207" s="18" t="n"/>
      <c r="L207" s="18" t="n"/>
      <c r="M207" s="18" t="n"/>
      <c r="N207" s="18">
        <f>D207*تنظیمات!$B$3*تنظیمات!$B$5+(F207/1000)*تنظیمات!$B$4</f>
        <v/>
      </c>
    </row>
    <row r="208" ht="72" customHeight="1">
      <c r="A208" s="18" t="inlineStr">
        <is>
          <t>IMP-0204</t>
        </is>
      </c>
      <c r="B208" s="18" t="inlineStr">
        <is>
          <t>Jean Paul gaultier le male elixir</t>
        </is>
      </c>
      <c r="C208" s="18" t="inlineStr">
        <is>
          <t>Jean Paul gaultier le male elixir
🔸️نوع:مردانه
🔸️سبک:شرقی - فوژه
🌸ترکیب نت‌ها:
🔸 نت‌های ابتدایی: اسطوخودوس ، نعناع
🔸 نت‌های میانی: لوبان ، وانیل
🔸 نت‌های پایه:
دانه تونکا ، عسل ، تنباکو
📝توضیحات:
این عطر غلیظ که روی پوست صاف این نیم‌تنه پخش می‌شود، تمامی حس‌های شما را شعله‌ور می‌سازد و جلوه‌های هوس‌انگیز سوزانی را به‌وجود می‌آورد. پس از نت شاداب نعناع، گسترش آمیزه این عطر ذره‌ذره شما را به خودش وابسته می‌کند تا سرانجام به یک اکسیر غلیظ تبدیل می‌شود. بعد از نت‌های باطراوت، رایحه بی‌نظیر اسطوخودوس سریعا با جلوه‌های هوس‌انگیزش نمایان می‌شود که البته به‌واسطه سرشاری و غنای برگرفته از لوبان، روایح شربتی و نت‌های وانیل تقویت خواهد شد. دانه تونکا نیز آمیزه کلی عطر را به‌واسطه جلوه‌های پرحرارت اما ملایمش غنی‌تر می‌سازد و مابین نت‌های تنباکو و عسل قرار می‌گیرد. به این مرحله که برسید، تمام وجودتان با این عطر درگیر می‌شود!
100$</t>
        </is>
      </c>
      <c r="D208" s="18" t="n">
        <v>100</v>
      </c>
      <c r="E208" s="18" t="n"/>
      <c r="F208" s="18" t="n"/>
      <c r="G208" s="18" t="inlineStr">
        <is>
          <t>کانادا</t>
        </is>
      </c>
      <c r="H208" s="18" t="inlineStr">
        <is>
          <t>عطر و ادکلن</t>
        </is>
      </c>
      <c r="I208" s="18" t="inlineStr">
        <is>
          <t>photo_2017@12-07-2026_20-00-58.jpg</t>
        </is>
      </c>
      <c r="J208" s="18" t="n"/>
      <c r="K208" s="18" t="n"/>
      <c r="L208" s="18" t="n"/>
      <c r="M208" s="18" t="n"/>
      <c r="N208" s="18">
        <f>D208*تنظیمات!$B$3*تنظیمات!$B$5+(F208/1000)*تنظیمات!$B$4</f>
        <v/>
      </c>
    </row>
    <row r="209" ht="72" customHeight="1">
      <c r="A209" s="18" t="inlineStr">
        <is>
          <t>IMP-0205</t>
        </is>
      </c>
      <c r="B209" s="18" t="inlineStr">
        <is>
          <t>🌴 Victoria’s Secret Bombshell St. Tropez Eau de Parfum</t>
        </is>
      </c>
      <c r="C209" s="18" t="inlineStr">
        <is>
          <t>🌴 Victoria’s Secret Bombshell St. Tropez Eau de Parfum
یک عطر زنانه با حسِ یک روز آفتابی کنار دریای مدیترانه؛ انگار روی پوستتان بوی آناناس تازه، گل‌های صورتی ظریف و نسیم خنک ساحل نشسته باشد. 🍍🌸
در شروع، رایحه‌ی شیرین و آبدار آناناس صورتی به مشام می‌رسد؛ شاداب و میوه‌ای، مثل نوشیدنی خنک در یک تعطیلات تابستانی.
بعد، لطافت گل پیونی وارد می‌شود؛ بویی تمیز، زنانه و ظریف شبیه گل‌های تازه‌ای که کنار ساحل شکفته‌اند.
در پایان، مُشک نرم و درخشان روی پوست می‌ماند؛ حسی تمیز، لطیف و کمی گرم، مثل پوست آفتاب‌خورده بعد از یک روز کنار دریا.
✨ حس کلی:
دخترانه، شیک، تازه، آفتابی و خوش‌حال؛ عطری برای کسی که دوست دارد بوی تمیزی، طراوت و تعطیلات تابستانی بدهد. 🌊
100ml
42$
50ml
32$</t>
        </is>
      </c>
      <c r="D209" s="18" t="n">
        <v>42</v>
      </c>
      <c r="E209" s="18" t="inlineStr">
        <is>
          <t>100ml</t>
        </is>
      </c>
      <c r="F209" s="18" t="n"/>
      <c r="G209" s="18" t="inlineStr">
        <is>
          <t>کانادا</t>
        </is>
      </c>
      <c r="H209" s="18" t="inlineStr">
        <is>
          <t>عطر و ادکلن</t>
        </is>
      </c>
      <c r="I209" s="18" t="inlineStr">
        <is>
          <t>photo_2025@16-07-2026_02-50-30.jpg</t>
        </is>
      </c>
      <c r="J209" s="18" t="n"/>
      <c r="K209" s="18" t="n"/>
      <c r="L209" s="18" t="n"/>
      <c r="M209" s="18" t="n"/>
      <c r="N209" s="18">
        <f>D209*تنظیمات!$B$3*تنظیمات!$B$5+(F209/1000)*تنظیمات!$B$4</f>
        <v/>
      </c>
    </row>
    <row r="210" ht="72" customHeight="1">
      <c r="A210" s="18" t="inlineStr">
        <is>
          <t>IMP-0206</t>
        </is>
      </c>
      <c r="B210" s="18" t="inlineStr">
        <is>
          <t>chanel</t>
        </is>
      </c>
      <c r="C210" s="18" t="inlineStr">
        <is>
          <t>edp
chanel
صدمیل
با احتساب ۲۰ درصد
۱۸۸$</t>
        </is>
      </c>
      <c r="D210" s="18" t="n">
        <v>188</v>
      </c>
      <c r="E210" s="18" t="n"/>
      <c r="F210" s="18" t="n"/>
      <c r="G210" s="18" t="inlineStr">
        <is>
          <t>کانادا</t>
        </is>
      </c>
      <c r="H210" s="18" t="inlineStr">
        <is>
          <t>عطر و ادکلن</t>
        </is>
      </c>
      <c r="I210" s="18" t="inlineStr">
        <is>
          <t>photo_2041@16-07-2026_21-02-01.jpg</t>
        </is>
      </c>
      <c r="J210" s="18" t="n"/>
      <c r="K210" s="18" t="n"/>
      <c r="L210" s="18" t="n"/>
      <c r="M210" s="18" t="n"/>
      <c r="N210" s="18">
        <f>D210*تنظیمات!$B$3*تنظیمات!$B$5+(F210/1000)*تنظیمات!$B$4</f>
        <v/>
      </c>
    </row>
    <row r="211" ht="72" customHeight="1">
      <c r="A211" s="18" t="inlineStr">
        <is>
          <t>IMP-0207</t>
        </is>
      </c>
      <c r="B211" s="18" t="inlineStr">
        <is>
          <t>میشه</t>
        </is>
      </c>
      <c r="C211" s="18" t="inlineStr">
        <is>
          <t>۱۵۸$
میشه
edt</t>
        </is>
      </c>
      <c r="D211" s="18" t="n">
        <v>158</v>
      </c>
      <c r="E211" s="18" t="n"/>
      <c r="F211" s="18" t="n"/>
      <c r="G211" s="18" t="inlineStr">
        <is>
          <t>کانادا</t>
        </is>
      </c>
      <c r="H211" s="18" t="inlineStr">
        <is>
          <t>عطر و ادکلن</t>
        </is>
      </c>
      <c r="I211" s="18" t="inlineStr">
        <is>
          <t>photo_2042@16-07-2026_21-04-16.jpg</t>
        </is>
      </c>
      <c r="J211" s="18" t="n"/>
      <c r="K211" s="18" t="n"/>
      <c r="L211" s="18" t="n"/>
      <c r="M211" s="18" t="n"/>
      <c r="N211" s="18">
        <f>D211*تنظیمات!$B$3*تنظیمات!$B$5+(F211/1000)*تنظیمات!$B$4</f>
        <v/>
      </c>
    </row>
    <row r="212" ht="72" customHeight="1">
      <c r="A212" s="18" t="inlineStr">
        <is>
          <t>IMP-0208</t>
        </is>
      </c>
      <c r="B212" s="18" t="inlineStr">
        <is>
          <t>عطر 30 میل</t>
        </is>
      </c>
      <c r="C212" s="18" t="inlineStr">
        <is>
          <t>عطر ۳۰ میل
به علاوه یه ۱۰ میل
لیبره
۸۱$</t>
        </is>
      </c>
      <c r="D212" s="18" t="n">
        <v>81</v>
      </c>
      <c r="E212" s="18" t="inlineStr">
        <is>
          <t>30ml</t>
        </is>
      </c>
      <c r="F212" s="18" t="n"/>
      <c r="G212" s="18" t="inlineStr">
        <is>
          <t>کانادا</t>
        </is>
      </c>
      <c r="H212" s="18" t="inlineStr">
        <is>
          <t>عطر و ادکلن</t>
        </is>
      </c>
      <c r="I212" s="18" t="inlineStr">
        <is>
          <t>photo_2043@16-07-2026_21-07-05.jpg</t>
        </is>
      </c>
      <c r="J212" s="18" t="n"/>
      <c r="K212" s="18" t="n"/>
      <c r="L212" s="18" t="n"/>
      <c r="M212" s="18" t="n"/>
      <c r="N212" s="18">
        <f>D212*تنظیمات!$B$3*تنظیمات!$B$5+(F212/1000)*تنظیمات!$B$4</f>
        <v/>
      </c>
    </row>
    <row r="213" ht="72" customHeight="1">
      <c r="A213" s="18" t="inlineStr">
        <is>
          <t>IMP-0209</t>
        </is>
      </c>
      <c r="B213" s="18" t="inlineStr">
        <is>
          <t>30 و 10 میل</t>
        </is>
      </c>
      <c r="C213" s="18" t="inlineStr">
        <is>
          <t>۷۴$
۳۰ و ۱۰ میل</t>
        </is>
      </c>
      <c r="D213" s="18" t="n">
        <v>74</v>
      </c>
      <c r="E213" s="18" t="inlineStr">
        <is>
          <t>10ml</t>
        </is>
      </c>
      <c r="F213" s="18" t="n"/>
      <c r="G213" s="18" t="inlineStr">
        <is>
          <t>کانادا</t>
        </is>
      </c>
      <c r="H213" s="18" t="inlineStr">
        <is>
          <t>عطر و ادکلن</t>
        </is>
      </c>
      <c r="I213" s="18" t="inlineStr">
        <is>
          <t>photo_2044@16-07-2026_21-07-26.jpg</t>
        </is>
      </c>
      <c r="J213" s="18" t="n"/>
      <c r="K213" s="18" t="n"/>
      <c r="L213" s="18" t="n"/>
      <c r="M213" s="18" t="n"/>
      <c r="N213" s="18">
        <f>D213*تنظیمات!$B$3*تنظیمات!$B$5+(F213/1000)*تنظیمات!$B$4</f>
        <v/>
      </c>
    </row>
    <row r="214" ht="72" customHeight="1">
      <c r="A214" s="18" t="inlineStr">
        <is>
          <t>IMP-0210</t>
        </is>
      </c>
      <c r="B214" s="18" t="inlineStr">
        <is>
          <t>75 میل های</t>
        </is>
      </c>
      <c r="C214" s="18" t="inlineStr">
        <is>
          <t>۷۵ میل های
edp
۱۳۲$
با احتساب ۲۰ درصد</t>
        </is>
      </c>
      <c r="D214" s="18" t="n">
        <v>132</v>
      </c>
      <c r="E214" s="18" t="inlineStr">
        <is>
          <t>75ml</t>
        </is>
      </c>
      <c r="F214" s="18" t="n"/>
      <c r="G214" s="18" t="inlineStr">
        <is>
          <t>کانادا</t>
        </is>
      </c>
      <c r="H214" s="18" t="inlineStr">
        <is>
          <t>عطر و ادکلن</t>
        </is>
      </c>
      <c r="I214" s="18" t="inlineStr">
        <is>
          <t>photo_2050@16-07-2026_21-14-30.jpg</t>
        </is>
      </c>
      <c r="J214" s="18" t="n"/>
      <c r="K214" s="18" t="n"/>
      <c r="L214" s="18" t="n"/>
      <c r="M214" s="18" t="n"/>
      <c r="N214" s="18">
        <f>D214*تنظیمات!$B$3*تنظیمات!$B$5+(F214/1000)*تنظیمات!$B$4</f>
        <v/>
      </c>
    </row>
    <row r="215" ht="72" customHeight="1">
      <c r="A215" s="18" t="inlineStr">
        <is>
          <t>IMP-0211</t>
        </is>
      </c>
      <c r="B215" s="18" t="inlineStr">
        <is>
          <t>عطر استخراج‌شده</t>
        </is>
      </c>
      <c r="C215" s="18" t="inlineStr">
        <is>
          <t>75ml
edt
115$</t>
        </is>
      </c>
      <c r="D215" s="18" t="n">
        <v>115</v>
      </c>
      <c r="E215" s="18" t="inlineStr">
        <is>
          <t>75ml</t>
        </is>
      </c>
      <c r="F215" s="18" t="n"/>
      <c r="G215" s="18" t="inlineStr">
        <is>
          <t>کانادا</t>
        </is>
      </c>
      <c r="H215" s="18" t="inlineStr">
        <is>
          <t>عطر و ادکلن</t>
        </is>
      </c>
      <c r="I215" s="18" t="inlineStr">
        <is>
          <t>photo_2051@16-07-2026_21-15-19.jpg</t>
        </is>
      </c>
      <c r="J215" s="18" t="n"/>
      <c r="K215" s="18" t="n"/>
      <c r="L215" s="18" t="n"/>
      <c r="M215" s="18" t="n"/>
      <c r="N215" s="18">
        <f>D215*تنظیمات!$B$3*تنظیمات!$B$5+(F215/1000)*تنظیمات!$B$4</f>
        <v/>
      </c>
    </row>
    <row r="216" ht="72" customHeight="1">
      <c r="A216" s="18" t="inlineStr">
        <is>
          <t>IMP-0212</t>
        </is>
      </c>
      <c r="B216" s="18" t="inlineStr">
        <is>
          <t>8 تا عطر مینیاتوری</t>
        </is>
      </c>
      <c r="C216" s="18" t="inlineStr">
        <is>
          <t>145$
۸ تا عطر مینیاتوری</t>
        </is>
      </c>
      <c r="D216" s="18" t="n">
        <v>145</v>
      </c>
      <c r="E216" s="18" t="n"/>
      <c r="F216" s="18" t="n"/>
      <c r="G216" s="18" t="inlineStr">
        <is>
          <t>کانادا</t>
        </is>
      </c>
      <c r="H216" s="18" t="inlineStr">
        <is>
          <t>عطر و ادکلن</t>
        </is>
      </c>
      <c r="I216" s="18" t="inlineStr">
        <is>
          <t>photo_2053@16-07-2026_21-26-49.jpg</t>
        </is>
      </c>
      <c r="J216" s="18" t="n"/>
      <c r="K216" s="18" t="n"/>
      <c r="L216" s="18" t="n"/>
      <c r="M216" s="18" t="n"/>
      <c r="N216" s="18">
        <f>D216*تنظیمات!$B$3*تنظیمات!$B$5+(F216/1000)*تنظیمات!$B$4</f>
        <v/>
      </c>
    </row>
    <row r="217" ht="72" customHeight="1">
      <c r="A217" s="18" t="inlineStr">
        <is>
          <t>IMP-0213</t>
        </is>
      </c>
      <c r="B217" s="18" t="inlineStr">
        <is>
          <t>Sean john Empress Eau de Parfum</t>
        </is>
      </c>
      <c r="C217" s="18" t="inlineStr">
        <is>
          <t>💛Sean john Empress Eau de Parfum
🔸 نوع: زنانه
🔸تولید از سال:2011
🔸 سبک: گلی - شیرین - ترش
🌸ترکیب نت‌ها:
🔸 نت‌های ابتدایی: نارنگی ماندارین، لیمو ترش سبز، کرانبری ، کارامبولا
🔸 نت‌های میانی: هل ، گل صدتومانی، گل ختمی ، تمشک ، گل ساعتی
🔸 نت‌های پایه: مشک ، وانیل ، چوب صندل سفید ، کارامل
📝 توضیحات:
«طرحي از شادابی مرکباتی، گرمای کارامل و اعتماد زنانه‌ای بی‌افراط.»
با انفجاری از لیمو، کرنبری و استارفروت شروع می‌شود؛ قلبش با تمشک و هل به لطافت گلی می‌رسد؛و پایه آن با کارامل، وانیل و صندل گرمایی شکیل و کنترل‌شده ایجاد می‌کند.
عطری برای زنی که لطیف اما قابل‌احترام است حکمرانی‌اش را با ترکیبی از شیرینی و جذابیت نشان می‌دهد.
24$
30ml</t>
        </is>
      </c>
      <c r="D217" s="18" t="n">
        <v>24</v>
      </c>
      <c r="E217" s="18" t="inlineStr">
        <is>
          <t>30ml</t>
        </is>
      </c>
      <c r="F217" s="18" t="n"/>
      <c r="G217" s="18" t="inlineStr">
        <is>
          <t>کانادا</t>
        </is>
      </c>
      <c r="H217" s="18" t="inlineStr">
        <is>
          <t>عطر و ادکلن</t>
        </is>
      </c>
      <c r="I217" s="18" t="inlineStr">
        <is>
          <t>photo_2074@24-07-2026_22-01-28.jpg</t>
        </is>
      </c>
      <c r="J217" s="18" t="n"/>
      <c r="K217" s="18" t="n"/>
      <c r="L217" s="18" t="n"/>
      <c r="M217" s="18" t="n"/>
      <c r="N217" s="18">
        <f>D217*تنظیمات!$B$3*تنظیمات!$B$5+(F217/1000)*تنظیمات!$B$4</f>
        <v/>
      </c>
    </row>
    <row r="218" ht="72" customHeight="1">
      <c r="A218" s="18" t="inlineStr">
        <is>
          <t>IMP-0214</t>
        </is>
      </c>
      <c r="B218" s="18" t="inlineStr">
        <is>
          <t>Viva La Juicy Noir by Juicy Couture</t>
        </is>
      </c>
      <c r="C218" s="18" t="inlineStr">
        <is>
          <t>💖 Viva La Juicy Noir by Juicy Couture
🔸 نوع عطر: زنانه
🔸 تولید از سال 2013
🔸 سبک: گلی - میوه‌ای - شیرین
🌸 ترکیب نت‌ها:
🔸️نت‌های ابتدایی: توت‌های وحشی (Wild Berries)، پرتقال ماندارین
🔸️نت‌های میانی: گاردنیا، یاس، شکوفه گل‌آبی، وانیل
🔸️نت‌های پایه: عنبر، کارامل، چوب صندل، وانیل، مشک
📝 توضیحات:
این عطر مخصوص خانم‌هایی‌ست که شب را برای درخشش انتخاب می‌کنند. رایحه‌ای اغواگر، شیرین و خامه‌ای با حس میوه‌ای-وانیلی که در قلب آن گاردنیا و یاس می‌درخشد. طراحی بطری با روبان مشکی و شیشه بنفش-صورتی نمادی از زنانگی مرموز و جسور است
📌 جعبه اصلی موجود
Eau de perfume
50 ml
29$</t>
        </is>
      </c>
      <c r="D218" s="18" t="n">
        <v>29</v>
      </c>
      <c r="E218" s="18" t="inlineStr">
        <is>
          <t>50ml</t>
        </is>
      </c>
      <c r="F218" s="18" t="n"/>
      <c r="G218" s="18" t="inlineStr">
        <is>
          <t>کانادا</t>
        </is>
      </c>
      <c r="H218" s="18" t="inlineStr">
        <is>
          <t>عطر و ادکلن</t>
        </is>
      </c>
      <c r="I218" s="18" t="inlineStr">
        <is>
          <t>photo_2075@24-07-2026_22-05-09.jpg</t>
        </is>
      </c>
      <c r="J218" s="18" t="n"/>
      <c r="K218" s="18" t="n"/>
      <c r="L218" s="18" t="n"/>
      <c r="M218" s="18" t="n"/>
      <c r="N218" s="18">
        <f>D218*تنظیمات!$B$3*تنظیمات!$B$5+(F218/1000)*تنظیمات!$B$4</f>
        <v/>
      </c>
    </row>
    <row r="219" ht="72" customHeight="1">
      <c r="A219" s="18" t="inlineStr">
        <is>
          <t>IMP-0215</t>
        </is>
      </c>
      <c r="B219" s="18" t="inlineStr">
        <is>
          <t>Viva La Juicy gold couture by Juicy Couture</t>
        </is>
      </c>
      <c r="C219" s="18" t="inlineStr">
        <is>
          <t>💖 Viva La Juicy gold couture by Juicy Couture
🔸 نوع عطر: زنانه
🔸 تولید از سال 2013
🔸 سبک: گلی - میوه‌ای - شیرین
🌸 ترکیب نت‌ها:
🔸️نت‌های ابتدایی: میوه های جنگلی
🔸️نت‌های میانی: یاس، پیچ امین الدوله
🔸️نت‌های پایه: کهربا، وانیل ، چوب صندل سفید ، کارامل
📝 توضیحات:
این ادیشن جذاب و خاص از کالکشن عطرهای «ویوا لا جویسی»، تمام هوش و حواس شما را از رایحه انواع توت‌های وحشی سرشار می‌کند و ردی هم از رایحه گل پیچ امین‌الدوله به آنها می‌افزاید. رایحه‌های اکسیرمانند کهربا، کارامل مذاب و وانیل هم تکمیل‌کننده این ادیشن خاص هستند.
📌 جعبه اصلی موجود
Eau de perfume
50 ml
29$</t>
        </is>
      </c>
      <c r="D219" s="18" t="n">
        <v>29</v>
      </c>
      <c r="E219" s="18" t="inlineStr">
        <is>
          <t>50ml</t>
        </is>
      </c>
      <c r="F219" s="18" t="n"/>
      <c r="G219" s="18" t="inlineStr">
        <is>
          <t>کانادا</t>
        </is>
      </c>
      <c r="H219" s="18" t="inlineStr">
        <is>
          <t>عطر و ادکلن</t>
        </is>
      </c>
      <c r="I219" s="18" t="inlineStr">
        <is>
          <t>photo_2078@24-07-2026_22-10-31.jpg</t>
        </is>
      </c>
      <c r="J219" s="18" t="n"/>
      <c r="K219" s="18" t="n"/>
      <c r="L219" s="18" t="n"/>
      <c r="M219" s="18" t="n"/>
      <c r="N219" s="18">
        <f>D219*تنظیمات!$B$3*تنظیمات!$B$5+(F219/1000)*تنظیمات!$B$4</f>
        <v/>
      </c>
    </row>
    <row r="220" ht="72" customHeight="1">
      <c r="A220" s="18" t="inlineStr">
        <is>
          <t>IMP-0216</t>
        </is>
      </c>
      <c r="B220" s="18" t="inlineStr">
        <is>
          <t>پروموشن ویژه کاسکو</t>
        </is>
      </c>
      <c r="C220" s="18" t="inlineStr">
        <is>
          <t>پروموشن ویژه کاسکو
این عطرها ۱۰۰$</t>
        </is>
      </c>
      <c r="D220" s="18" t="n">
        <v>100</v>
      </c>
      <c r="E220" s="18" t="n"/>
      <c r="F220" s="18" t="n"/>
      <c r="G220" s="18" t="inlineStr">
        <is>
          <t>کانادا</t>
        </is>
      </c>
      <c r="H220" s="18" t="inlineStr">
        <is>
          <t>عطر و ادکلن</t>
        </is>
      </c>
      <c r="I220" s="18" t="inlineStr">
        <is>
          <t>photo_2085@03-08-2026_21-25-41.jpg</t>
        </is>
      </c>
      <c r="J220" s="18" t="n"/>
      <c r="K220" s="18" t="n"/>
      <c r="L220" s="18" t="n"/>
      <c r="M220" s="18" t="n"/>
      <c r="N220" s="18">
        <f>D220*تنظیمات!$B$3*تنظیمات!$B$5+(F220/1000)*تنظیمات!$B$4</f>
        <v/>
      </c>
    </row>
    <row r="221" ht="72" customHeight="1">
      <c r="A221" s="18" t="inlineStr">
        <is>
          <t>IMP-0217</t>
        </is>
      </c>
      <c r="B221" s="18" t="inlineStr">
        <is>
          <t>my burberry</t>
        </is>
      </c>
      <c r="C221" s="18" t="inlineStr">
        <is>
          <t>my burberry
90ml
100$</t>
        </is>
      </c>
      <c r="D221" s="18" t="n">
        <v>100</v>
      </c>
      <c r="E221" s="18" t="inlineStr">
        <is>
          <t>90ml</t>
        </is>
      </c>
      <c r="F221" s="18" t="n"/>
      <c r="G221" s="18" t="inlineStr">
        <is>
          <t>کانادا</t>
        </is>
      </c>
      <c r="H221" s="18" t="inlineStr">
        <is>
          <t>عطر و ادکلن</t>
        </is>
      </c>
      <c r="I221" s="18" t="inlineStr">
        <is>
          <t>photo_2113@03-08-2026_21-27-52.jpg</t>
        </is>
      </c>
      <c r="J221" s="18" t="n"/>
      <c r="K221" s="18" t="n"/>
      <c r="L221" s="18" t="n"/>
      <c r="M221" s="18" t="n"/>
      <c r="N221" s="18">
        <f>D221*تنظیمات!$B$3*تنظیمات!$B$5+(F221/1000)*تنظیمات!$B$4</f>
        <v/>
      </c>
    </row>
    <row r="222" ht="72" customHeight="1">
      <c r="A222" s="18" t="inlineStr">
        <is>
          <t>IMP-0218</t>
        </is>
      </c>
      <c r="B222" s="18" t="inlineStr">
        <is>
          <t>Paco Rabanne olympea eau de parfum</t>
        </is>
      </c>
      <c r="C222" s="18" t="inlineStr">
        <is>
          <t>Paco Rabanne olympea eau de parfum
🌸ترکیب نت ها
اسانس اولیه: نارنگی ماندارین، یاس، زنجبیل
اسانس میانی: وانیل ، نمک
اسانس پایه: چوب صندل سفید ، چوب کشمیر ، عنبر
این عطر رایحه‌ای گرم داشته و در دسته کارهای شیرین و وانیلی قرار می‌گیرد.
ایده ای الهام گرفته از الهه یونان مدرن بر پایه استحکامی پویا و پیروز است.
این عطر توسط لاگ دانگ و آنه فلیپو ساخته شده است .
ترکیب شور و  گلی که با رایحه های تازه شرقی نمودار می گردد ، شروعی از انفجار ماندارین سبز با نت های ابزی از آب یاس ، زنجبیل آتشین ، گل سوسن با همراهی وانیل نمکی در میانه است ، نت های پایه را چوب صندل ، چوب کشمیر و عنبر تشکیل می دهند .
50ml
70$</t>
        </is>
      </c>
      <c r="D222" s="18" t="n">
        <v>70</v>
      </c>
      <c r="E222" s="18" t="inlineStr">
        <is>
          <t>50ml</t>
        </is>
      </c>
      <c r="F222" s="18" t="n"/>
      <c r="G222" s="18" t="inlineStr">
        <is>
          <t>کانادا</t>
        </is>
      </c>
      <c r="H222" s="18" t="inlineStr">
        <is>
          <t>عطر و ادکلن</t>
        </is>
      </c>
      <c r="I222" s="18" t="inlineStr">
        <is>
          <t>photo_2128@07-08-2026_14-37-34.jpg</t>
        </is>
      </c>
      <c r="J222" s="18" t="n"/>
      <c r="K222" s="18" t="n"/>
      <c r="L222" s="18" t="n"/>
      <c r="M222" s="18" t="n"/>
      <c r="N222" s="18">
        <f>D222*تنظیمات!$B$3*تنظیمات!$B$5+(F222/1000)*تنظیمات!$B$4</f>
        <v/>
      </c>
    </row>
    <row r="223" ht="72" customHeight="1">
      <c r="A223" s="18" t="inlineStr">
        <is>
          <t>IMP-0219</t>
        </is>
      </c>
      <c r="B223" s="18" t="inlineStr">
        <is>
          <t>19میلیون</t>
        </is>
      </c>
      <c r="C223" s="18" t="inlineStr">
        <is>
          <t>100ml
19میلیون
به علاوه حمل
قیمت عطر ۱۸۰$
هست
با افر ویژه خریدیم
۱۰۰$
جعبه اصلی
موجود یک عدد با این قیمت</t>
        </is>
      </c>
      <c r="D223" s="18" t="n">
        <v>180</v>
      </c>
      <c r="E223" s="18" t="inlineStr">
        <is>
          <t>100ml</t>
        </is>
      </c>
      <c r="F223" s="18" t="n"/>
      <c r="G223" s="18" t="inlineStr">
        <is>
          <t>کانادا</t>
        </is>
      </c>
      <c r="H223" s="18" t="inlineStr">
        <is>
          <t>عطر و ادکلن</t>
        </is>
      </c>
      <c r="I223" s="18" t="inlineStr">
        <is>
          <t>photo_2131@08-08-2026_02-28-56.jpg</t>
        </is>
      </c>
      <c r="J223" s="18" t="n"/>
      <c r="K223" s="18" t="n"/>
      <c r="L223" s="18" t="n"/>
      <c r="M223" s="18" t="n"/>
      <c r="N223" s="18">
        <f>D223*تنظیمات!$B$3*تنظیمات!$B$5+(F223/1000)*تنظیمات!$B$4</f>
        <v/>
      </c>
    </row>
    <row r="224" ht="72" customHeight="1">
      <c r="A224" s="18" t="inlineStr">
        <is>
          <t>IMP-0220</t>
        </is>
      </c>
      <c r="B224" s="18" t="inlineStr">
        <is>
          <t>19میلیون</t>
        </is>
      </c>
      <c r="C224" s="18" t="inlineStr">
        <is>
          <t>50ml
19میلیون
به علاوه حمل
قیمت عطر ۱۷۸$
هست
با افر ویژه خریدیم
۱۰۰$
جعبه اصلی
موجود یک عدد با این قیمت</t>
        </is>
      </c>
      <c r="D224" s="18" t="n">
        <v>178</v>
      </c>
      <c r="E224" s="18" t="inlineStr">
        <is>
          <t>50ml</t>
        </is>
      </c>
      <c r="F224" s="18" t="n"/>
      <c r="G224" s="18" t="inlineStr">
        <is>
          <t>کانادا</t>
        </is>
      </c>
      <c r="H224" s="18" t="inlineStr">
        <is>
          <t>عطر و ادکلن</t>
        </is>
      </c>
      <c r="I224" s="18" t="inlineStr">
        <is>
          <t>photo_2133@08-08-2026_02-33-18.jpg</t>
        </is>
      </c>
      <c r="J224" s="18" t="n"/>
      <c r="K224" s="18" t="n"/>
      <c r="L224" s="18" t="n"/>
      <c r="M224" s="18" t="n"/>
      <c r="N224" s="18">
        <f>D224*تنظیمات!$B$3*تنظیمات!$B$5+(F224/1000)*تنظیمات!$B$4</f>
        <v/>
      </c>
    </row>
    <row r="225" ht="72" customHeight="1">
      <c r="A225" s="18" t="inlineStr">
        <is>
          <t>IMP-0221</t>
        </is>
      </c>
      <c r="B225" s="18" t="inlineStr">
        <is>
          <t>19میلیون</t>
        </is>
      </c>
      <c r="C225" s="18" t="inlineStr">
        <is>
          <t>60ml
19میلیون
به علاوه حمل
قیمت عطر ۱۷۶$
هست
با افر ویژه خریدیم
۱۰۰$
جعبه اصلی
موجود یک عدد با این قیمت</t>
        </is>
      </c>
      <c r="D225" s="18" t="n">
        <v>176</v>
      </c>
      <c r="E225" s="18" t="inlineStr">
        <is>
          <t>60ml</t>
        </is>
      </c>
      <c r="F225" s="18" t="n"/>
      <c r="G225" s="18" t="inlineStr">
        <is>
          <t>کانادا</t>
        </is>
      </c>
      <c r="H225" s="18" t="inlineStr">
        <is>
          <t>عطر و ادکلن</t>
        </is>
      </c>
      <c r="I225" s="18" t="inlineStr">
        <is>
          <t>photo_2138@08-08-2026_02-39-48.jpg</t>
        </is>
      </c>
      <c r="J225" s="18" t="n"/>
      <c r="K225" s="18" t="n"/>
      <c r="L225" s="18" t="n"/>
      <c r="M225" s="18" t="n"/>
      <c r="N225" s="18">
        <f>D225*تنظیمات!$B$3*تنظیمات!$B$5+(F225/1000)*تنظیمات!$B$4</f>
        <v/>
      </c>
    </row>
    <row r="226" ht="72" customHeight="1">
      <c r="A226" s="18" t="inlineStr">
        <is>
          <t>IMP-0222</t>
        </is>
      </c>
      <c r="B226" s="18" t="inlineStr">
        <is>
          <t>Versace eros</t>
        </is>
      </c>
      <c r="C226" s="18" t="inlineStr">
        <is>
          <t>Versace eros
5ml
10$
Edt</t>
        </is>
      </c>
      <c r="D226" s="18" t="n">
        <v>10</v>
      </c>
      <c r="E226" s="18" t="inlineStr">
        <is>
          <t>5ml</t>
        </is>
      </c>
      <c r="F226" s="18" t="n"/>
      <c r="G226" s="18" t="inlineStr">
        <is>
          <t>کانادا</t>
        </is>
      </c>
      <c r="H226" s="18" t="inlineStr">
        <is>
          <t>عطر و ادکلن</t>
        </is>
      </c>
      <c r="I226" s="18" t="inlineStr">
        <is>
          <t>photo_2142@09-08-2026_07-14-33.jpg</t>
        </is>
      </c>
      <c r="J226" s="18" t="n"/>
      <c r="K226" s="18" t="n"/>
      <c r="L226" s="18" t="n"/>
      <c r="M226" s="18" t="n"/>
      <c r="N226" s="18">
        <f>D226*تنظیمات!$B$3*تنظیمات!$B$5+(F226/1000)*تنظیمات!$B$4</f>
        <v/>
      </c>
    </row>
    <row r="227" ht="72" customHeight="1">
      <c r="A227" s="18" t="inlineStr">
        <is>
          <t>IMP-0223</t>
        </is>
      </c>
      <c r="B227" s="18" t="inlineStr">
        <is>
          <t>Versace Dylan purple</t>
        </is>
      </c>
      <c r="C227" s="18" t="inlineStr">
        <is>
          <t>Versace Dylan purple
5ml
10$
Edp</t>
        </is>
      </c>
      <c r="D227" s="18" t="n">
        <v>10</v>
      </c>
      <c r="E227" s="18" t="inlineStr">
        <is>
          <t>5ml</t>
        </is>
      </c>
      <c r="F227" s="18" t="n"/>
      <c r="G227" s="18" t="inlineStr">
        <is>
          <t>کانادا</t>
        </is>
      </c>
      <c r="H227" s="18" t="inlineStr">
        <is>
          <t>عطر و ادکلن</t>
        </is>
      </c>
      <c r="I227" s="18" t="inlineStr">
        <is>
          <t>photo_2143@09-08-2026_07-16-14.jpg</t>
        </is>
      </c>
      <c r="J227" s="18" t="n"/>
      <c r="K227" s="18" t="n"/>
      <c r="L227" s="18" t="n"/>
      <c r="M227" s="18" t="n"/>
      <c r="N227" s="18">
        <f>D227*تنظیمات!$B$3*تنظیمات!$B$5+(F227/1000)*تنظیمات!$B$4</f>
        <v/>
      </c>
    </row>
    <row r="228" ht="72" customHeight="1">
      <c r="A228" s="18" t="inlineStr">
        <is>
          <t>IMP-0224</t>
        </is>
      </c>
      <c r="B228" s="18" t="inlineStr">
        <is>
          <t>Prada Les infusions de rose</t>
        </is>
      </c>
      <c r="C228" s="18" t="inlineStr">
        <is>
          <t>🌸Prada Les infusions de rose
10$
8ml
❌❌اتمام موجودی</t>
        </is>
      </c>
      <c r="D228" s="18" t="n">
        <v>10</v>
      </c>
      <c r="E228" s="18" t="inlineStr">
        <is>
          <t>8ml</t>
        </is>
      </c>
      <c r="F228" s="18" t="n"/>
      <c r="G228" s="18" t="inlineStr">
        <is>
          <t>کانادا</t>
        </is>
      </c>
      <c r="H228" s="18" t="inlineStr">
        <is>
          <t>عطر و ادکلن</t>
        </is>
      </c>
      <c r="I228" s="18" t="inlineStr">
        <is>
          <t>photo_2144@09-08-2026_07-17-50.jpg</t>
        </is>
      </c>
      <c r="J228" s="18" t="n"/>
      <c r="K228" s="18" t="n"/>
      <c r="L228" s="18" t="n"/>
      <c r="M228" s="18" t="n"/>
      <c r="N228" s="18">
        <f>D228*تنظیمات!$B$3*تنظیمات!$B$5+(F228/1000)*تنظیمات!$B$4</f>
        <v/>
      </c>
    </row>
    <row r="229" ht="72" customHeight="1">
      <c r="A229" s="18" t="inlineStr">
        <is>
          <t>IMP-0225</t>
        </is>
      </c>
      <c r="B229" s="18" t="inlineStr">
        <is>
          <t>Clinique my happy peony picnic</t>
        </is>
      </c>
      <c r="C229" s="18" t="inlineStr">
        <is>
          <t>Clinique my happy peony picnic🌸
15ml
12$
🔺فقط چهار عدد باقی مانده</t>
        </is>
      </c>
      <c r="D229" s="18" t="n">
        <v>12</v>
      </c>
      <c r="E229" s="18" t="inlineStr">
        <is>
          <t>15ml</t>
        </is>
      </c>
      <c r="F229" s="18" t="n"/>
      <c r="G229" s="18" t="inlineStr">
        <is>
          <t>کانادا</t>
        </is>
      </c>
      <c r="H229" s="18" t="inlineStr">
        <is>
          <t>عطر و ادکلن</t>
        </is>
      </c>
      <c r="I229" s="18" t="inlineStr">
        <is>
          <t>photo_2145@09-08-2026_17-37-45.jpg</t>
        </is>
      </c>
      <c r="J229" s="18" t="n"/>
      <c r="K229" s="18" t="n"/>
      <c r="L229" s="18" t="n"/>
      <c r="M229" s="18" t="n"/>
      <c r="N229" s="18">
        <f>D229*تنظیمات!$B$3*تنظیمات!$B$5+(F229/1000)*تنظیمات!$B$4</f>
        <v/>
      </c>
    </row>
    <row r="230" ht="72" customHeight="1">
      <c r="A230" s="18" t="inlineStr">
        <is>
          <t>IMP-0226</t>
        </is>
      </c>
      <c r="B230" s="18" t="inlineStr">
        <is>
          <t>Tory Burch electric sky</t>
        </is>
      </c>
      <c r="C230" s="18" t="inlineStr">
        <is>
          <t>Tory Burch electric sky
10ml
10$
برای فصل تابستان فوق العادس😍
🔺فقط یه عدد موجود</t>
        </is>
      </c>
      <c r="D230" s="18" t="n">
        <v>10</v>
      </c>
      <c r="E230" s="18" t="inlineStr">
        <is>
          <t>10ml</t>
        </is>
      </c>
      <c r="F230" s="18" t="n"/>
      <c r="G230" s="18" t="inlineStr">
        <is>
          <t>کانادا</t>
        </is>
      </c>
      <c r="H230" s="18" t="inlineStr">
        <is>
          <t>عطر و ادکلن</t>
        </is>
      </c>
      <c r="I230" s="18" t="inlineStr">
        <is>
          <t>photo_2146@09-08-2026_18-58-40.jpg</t>
        </is>
      </c>
      <c r="J230" s="18" t="n"/>
      <c r="K230" s="18" t="n"/>
      <c r="L230" s="18" t="n"/>
      <c r="M230" s="18" t="n"/>
      <c r="N230" s="18">
        <f>D230*تنظیمات!$B$3*تنظیمات!$B$5+(F230/1000)*تنظیمات!$B$4</f>
        <v/>
      </c>
    </row>
    <row r="231" ht="72" customHeight="1">
      <c r="A231" s="18" t="inlineStr">
        <is>
          <t>IMP-0227</t>
        </is>
      </c>
      <c r="B231" s="18" t="inlineStr">
        <is>
          <t>Scandal</t>
        </is>
      </c>
      <c r="C231" s="18" t="inlineStr">
        <is>
          <t>Scandal 🌸
10ml
12$
Edp
🔺فقط یک عدد موجود</t>
        </is>
      </c>
      <c r="D231" s="18" t="n">
        <v>12</v>
      </c>
      <c r="E231" s="18" t="inlineStr">
        <is>
          <t>10ml</t>
        </is>
      </c>
      <c r="F231" s="18" t="n"/>
      <c r="G231" s="18" t="inlineStr">
        <is>
          <t>کانادا</t>
        </is>
      </c>
      <c r="H231" s="18" t="inlineStr">
        <is>
          <t>عطر و ادکلن</t>
        </is>
      </c>
      <c r="I231" s="18" t="inlineStr">
        <is>
          <t>photo_2147@10-08-2026_10-57-15.jpg</t>
        </is>
      </c>
      <c r="J231" s="18" t="n"/>
      <c r="K231" s="18" t="n"/>
      <c r="L231" s="18" t="n"/>
      <c r="M231" s="18" t="n"/>
      <c r="N231" s="18">
        <f>D231*تنظیمات!$B$3*تنظیمات!$B$5+(F231/1000)*تنظیمات!$B$4</f>
        <v/>
      </c>
    </row>
    <row r="232" ht="72" customHeight="1">
      <c r="A232" s="18" t="inlineStr">
        <is>
          <t>IMP-0228</t>
        </is>
      </c>
      <c r="B232" s="18" t="inlineStr">
        <is>
          <t>🔺 edt</t>
        </is>
      </c>
      <c r="C232" s="18" t="inlineStr">
        <is>
          <t>10ml
🔺 edt
12$
🔺 edp
15$</t>
        </is>
      </c>
      <c r="D232" s="18" t="n">
        <v>12</v>
      </c>
      <c r="E232" s="18" t="inlineStr">
        <is>
          <t>10ml</t>
        </is>
      </c>
      <c r="F232" s="18" t="n"/>
      <c r="G232" s="18" t="inlineStr">
        <is>
          <t>کانادا</t>
        </is>
      </c>
      <c r="H232" s="18" t="inlineStr">
        <is>
          <t>عطر و ادکلن</t>
        </is>
      </c>
      <c r="I232" s="18" t="inlineStr">
        <is>
          <t>photo_2148@10-08-2026_11-01-26.jpg</t>
        </is>
      </c>
      <c r="J232" s="18" t="n"/>
      <c r="K232" s="18" t="n"/>
      <c r="L232" s="18" t="n"/>
      <c r="M232" s="18" t="n"/>
      <c r="N232" s="18">
        <f>D232*تنظیمات!$B$3*تنظیمات!$B$5+(F232/1000)*تنظیمات!$B$4</f>
        <v/>
      </c>
    </row>
    <row r="233" ht="72" customHeight="1">
      <c r="A233" s="18" t="inlineStr">
        <is>
          <t>IMP-0229</t>
        </is>
      </c>
      <c r="B233" s="18" t="inlineStr">
        <is>
          <t>Signorina</t>
        </is>
      </c>
      <c r="C233" s="18" t="inlineStr">
        <is>
          <t>Signorina
5ml
8$
فوق العاده خوش بو خصوصا برای فصل های بهار و تابستان😍</t>
        </is>
      </c>
      <c r="D233" s="18" t="n">
        <v>8</v>
      </c>
      <c r="E233" s="18" t="inlineStr">
        <is>
          <t>5ml</t>
        </is>
      </c>
      <c r="F233" s="18" t="n"/>
      <c r="G233" s="18" t="inlineStr">
        <is>
          <t>کانادا</t>
        </is>
      </c>
      <c r="H233" s="18" t="inlineStr">
        <is>
          <t>عطر و ادکلن</t>
        </is>
      </c>
      <c r="I233" s="18" t="inlineStr">
        <is>
          <t>photo_2149@10-08-2026_13-19-09.jpg</t>
        </is>
      </c>
      <c r="J233" s="18" t="n"/>
      <c r="K233" s="18" t="n"/>
      <c r="L233" s="18" t="n"/>
      <c r="M233" s="18" t="n"/>
      <c r="N233" s="18">
        <f>D233*تنظیمات!$B$3*تنظیمات!$B$5+(F233/1000)*تنظیمات!$B$4</f>
        <v/>
      </c>
    </row>
    <row r="234" ht="72" customHeight="1">
      <c r="A234" s="18" t="inlineStr">
        <is>
          <t>IMP-0230</t>
        </is>
      </c>
      <c r="B234" s="18" t="inlineStr">
        <is>
          <t>Million gold for her</t>
        </is>
      </c>
      <c r="C234" s="18" t="inlineStr">
        <is>
          <t>Million gold for her
5ml
12$
🔺فقط یک عدد موجود</t>
        </is>
      </c>
      <c r="D234" s="18" t="n">
        <v>12</v>
      </c>
      <c r="E234" s="18" t="inlineStr">
        <is>
          <t>5ml</t>
        </is>
      </c>
      <c r="F234" s="18" t="n"/>
      <c r="G234" s="18" t="inlineStr">
        <is>
          <t>کانادا</t>
        </is>
      </c>
      <c r="H234" s="18" t="inlineStr">
        <is>
          <t>عطر و ادکلن</t>
        </is>
      </c>
      <c r="I234" s="18" t="inlineStr">
        <is>
          <t>photo_2150@10-08-2026_15-20-30.jpg</t>
        </is>
      </c>
      <c r="J234" s="18" t="n"/>
      <c r="K234" s="18" t="n"/>
      <c r="L234" s="18" t="n"/>
      <c r="M234" s="18" t="n"/>
      <c r="N234" s="18">
        <f>D234*تنظیمات!$B$3*تنظیمات!$B$5+(F234/1000)*تنظیمات!$B$4</f>
        <v/>
      </c>
    </row>
    <row r="235" ht="72" customHeight="1">
      <c r="A235" s="18" t="inlineStr">
        <is>
          <t>IMP-0231</t>
        </is>
      </c>
      <c r="B235" s="18" t="inlineStr">
        <is>
          <t>I want choo</t>
        </is>
      </c>
      <c r="C235" s="18" t="inlineStr">
        <is>
          <t>I want choo
4.5ml
8$</t>
        </is>
      </c>
      <c r="D235" s="18" t="n">
        <v>8</v>
      </c>
      <c r="E235" s="18" t="inlineStr">
        <is>
          <t>4.5ml</t>
        </is>
      </c>
      <c r="F235" s="18" t="n"/>
      <c r="G235" s="18" t="inlineStr">
        <is>
          <t>کانادا</t>
        </is>
      </c>
      <c r="H235" s="18" t="inlineStr">
        <is>
          <t>عطر و ادکلن</t>
        </is>
      </c>
      <c r="I235" s="18" t="inlineStr">
        <is>
          <t>photo_2151@11-08-2026_21-07-35.jpg</t>
        </is>
      </c>
      <c r="J235" s="18" t="n"/>
      <c r="K235" s="18" t="n"/>
      <c r="L235" s="18" t="n"/>
      <c r="M235" s="18" t="n"/>
      <c r="N235" s="18">
        <f>D235*تنظیمات!$B$3*تنظیمات!$B$5+(F235/1000)*تنظیمات!$B$4</f>
        <v/>
      </c>
    </row>
    <row r="236" ht="72" customHeight="1">
      <c r="A236" s="18" t="inlineStr">
        <is>
          <t>IMP-0232</t>
        </is>
      </c>
      <c r="B236" s="18" t="inlineStr">
        <is>
          <t>Versace Dylan blue</t>
        </is>
      </c>
      <c r="C236" s="18" t="inlineStr">
        <is>
          <t>Versace Dylan blue
5ml
10$</t>
        </is>
      </c>
      <c r="D236" s="18" t="n">
        <v>10</v>
      </c>
      <c r="E236" s="18" t="inlineStr">
        <is>
          <t>5ml</t>
        </is>
      </c>
      <c r="F236" s="18" t="n"/>
      <c r="G236" s="18" t="inlineStr">
        <is>
          <t>کانادا</t>
        </is>
      </c>
      <c r="H236" s="18" t="inlineStr">
        <is>
          <t>عطر و ادکلن</t>
        </is>
      </c>
      <c r="I236" s="18" t="inlineStr">
        <is>
          <t>photo_2152@11-08-2026_21-07-56.jpg</t>
        </is>
      </c>
      <c r="J236" s="18" t="n"/>
      <c r="K236" s="18" t="n"/>
      <c r="L236" s="18" t="n"/>
      <c r="M236" s="18" t="n"/>
      <c r="N236" s="18">
        <f>D236*تنظیمات!$B$3*تنظیمات!$B$5+(F236/1000)*تنظیمات!$B$4</f>
        <v/>
      </c>
    </row>
  </sheetData>
  <autoFilter ref="A4:N204"/>
  <conditionalFormatting sqref="N5:N204">
    <cfRule type="cellIs" priority="1" operator="greaterThan" dxfId="0">
      <formula>0</formula>
    </cfRule>
  </conditionalFormatting>
  <dataValidations count="2">
    <dataValidation sqref="H5:H204" showDropDown="0" showInputMessage="0" showErrorMessage="0" allowBlank="1" type="list">
      <formula1>"کیف,کفش,ورزشی,آرایشی بهداشتی,اکسسوری,دارو و سلامتی,سایر"</formula1>
    </dataValidation>
    <dataValidation sqref="G5:G204" showDropDown="0" showInputMessage="0" showErrorMessage="0" allowBlank="1" type="list">
      <formula1>"تهران,کانادا,سایر"</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2"/>
  <sheetViews>
    <sheetView showGridLines="0" rightToLeft="1" workbookViewId="0">
      <pane ySplit="2" topLeftCell="A3" activePane="bottomLeft" state="frozen"/>
      <selection pane="bottomLeft" activeCell="A1" sqref="A1"/>
    </sheetView>
  </sheetViews>
  <sheetFormatPr baseColWidth="8" defaultRowHeight="15"/>
  <cols>
    <col width="8" customWidth="1" min="1" max="1"/>
    <col width="110" customWidth="1" min="2" max="2"/>
  </cols>
  <sheetData>
    <row r="1">
      <c r="A1" s="10" t="inlineStr">
        <is>
          <t>راهنمای ورود محصولات در بات</t>
        </is>
      </c>
    </row>
    <row r="3">
      <c r="A3" s="11" t="inlineStr">
        <is>
          <t>۱</t>
        </is>
      </c>
      <c r="B3" s="12" t="inlineStr">
        <is>
          <t>هر ردیف در شیت محصولات یک محصول است.</t>
        </is>
      </c>
    </row>
    <row r="4">
      <c r="A4" s="11" t="inlineStr">
        <is>
          <t>۲</t>
        </is>
      </c>
      <c r="B4" s="12" t="inlineStr">
        <is>
          <t>نام فایل عکس‌ها را در ستون‌های عکس ۱ تا عکس ۳ وارد کنید؛ خود عکس را داخل سلول نچسبانید.</t>
        </is>
      </c>
    </row>
    <row r="5">
      <c r="A5" s="11" t="inlineStr">
        <is>
          <t>۳</t>
        </is>
      </c>
      <c r="B5" s="12" t="inlineStr">
        <is>
          <t>عکس‌ها را کنار فایل Excel قرار دهید یا همه را همراه Excel در یک ZIP بگذارید.</t>
        </is>
      </c>
    </row>
    <row r="6">
      <c r="A6" s="11" t="inlineStr">
        <is>
          <t>۴</t>
        </is>
      </c>
      <c r="B6" s="12" t="inlineStr">
        <is>
          <t>نام فایل‌ها باید دقیقاً با مقدار ستون‌های عکس یکسان باشد؛ پسوند jpg، jpeg یا png قابل استفاده است.</t>
        </is>
      </c>
    </row>
    <row r="7">
      <c r="A7" s="11" t="inlineStr">
        <is>
          <t>۵</t>
        </is>
      </c>
      <c r="B7" s="12" t="inlineStr">
        <is>
          <t>اگر محصول بیشتر از ۳ عکس دارد، عکس‌های اضافه را با الگوی SKU-001-4.jpg نام‌گذاری کنید؛ در نسخه بات می‌توانیم ستون عکس‌های بیشتر اضافه کنیم.</t>
        </is>
      </c>
    </row>
    <row r="8">
      <c r="A8" s="11" t="inlineStr">
        <is>
          <t>۶</t>
        </is>
      </c>
      <c r="B8" s="12" t="inlineStr">
        <is>
          <t>توضیحات دستی اختیاری است؛ اگر خالی باشد، بات می‌تواند بعداً با AI توضیح فروشگاهی تولید کند.</t>
        </is>
      </c>
    </row>
    <row r="9">
      <c r="A9" s="11" t="inlineStr">
        <is>
          <t>۷</t>
        </is>
      </c>
      <c r="B9" s="12" t="inlineStr">
        <is>
          <t>قیمت نهایی از شیت تنظیمات محاسبه می‌شود و بات هنگام ورود اطلاعات دوباره آن را محاسبه می‌کند.</t>
        </is>
      </c>
    </row>
    <row r="10">
      <c r="A10" s="11" t="inlineStr">
        <is>
          <t>۸</t>
        </is>
      </c>
      <c r="B10" s="12" t="inlineStr">
        <is>
          <t>فایل نهایی را از منوی بات با دکمه «📥 ورود اکسل» ارسال کنید.</t>
        </is>
      </c>
    </row>
    <row r="11">
      <c r="A11" s="18" t="inlineStr">
        <is>
          <t>۹</t>
        </is>
      </c>
      <c r="B11" s="18" t="inlineStr">
        <is>
          <t>محصولات گروه عطر از فایل Telegram استخراج شده‌اند؛ عکس‌ها در ستون‌های عکس با نام فایل ثبت شده‌اند.</t>
        </is>
      </c>
    </row>
    <row r="12">
      <c r="A12" s="18" t="inlineStr">
        <is>
          <t>۱۰</t>
        </is>
      </c>
      <c r="B12" s="18" t="inlineStr">
        <is>
          <t>برای نمایش عکس‌ها در Railway، خود فایل‌های عکس باید جداگانه در بات آپلود شوند؛ Excel فقط اطلاعات و نام فایل را منتقل می‌کند.</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rightToLeft="1" workbookViewId="0">
      <selection activeCell="A1" sqref="A1"/>
    </sheetView>
  </sheetViews>
  <sheetFormatPr baseColWidth="8" defaultRowHeight="15"/>
  <cols>
    <col width="30" customWidth="1" min="1" max="1"/>
    <col width="70" customWidth="1" min="2" max="2"/>
  </cols>
  <sheetData>
    <row r="1">
      <c r="A1" s="10" t="inlineStr">
        <is>
          <t>تنظیمات محاسبه قیمت</t>
        </is>
      </c>
    </row>
    <row r="3">
      <c r="A3" s="13" t="inlineStr">
        <is>
          <t>نرخ دلار (تومان)</t>
        </is>
      </c>
      <c r="B3" s="14" t="n">
        <v>200000</v>
      </c>
    </row>
    <row r="4">
      <c r="A4" s="13" t="inlineStr">
        <is>
          <t>هزینه حمل هر کیلو (تومان)</t>
        </is>
      </c>
      <c r="B4" s="14" t="n">
        <v>8000000</v>
      </c>
    </row>
    <row r="5">
      <c r="A5" s="13" t="inlineStr">
        <is>
          <t>ضریب قیمت</t>
        </is>
      </c>
      <c r="B5" s="15" t="n">
        <v>1.5</v>
      </c>
    </row>
    <row r="7">
      <c r="A7" s="13" t="inlineStr">
        <is>
          <t>فرمول</t>
        </is>
      </c>
      <c r="B7" s="16" t="inlineStr">
        <is>
          <t>(قیمت دلار × نرخ دلار × ضریب) + (وزن به کیلو × هزینه حمل)</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2026-08-20T08:12:17Z</dcterms:created>
  <dcterms:modified xsi:type="dcterms:W3CDTF">2026-08-25T16:04:17Z</dcterms:modified>
</cp:coreProperties>
</file>